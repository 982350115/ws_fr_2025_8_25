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a8837030f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6306f4309fa74a93"/>
    <x:sheet xmlns:r="http://schemas.openxmlformats.org/officeDocument/2006/relationships" name="MDH参数" sheetId="2" r:id="R77a9349635d94580"/>
    <x:sheet xmlns:r="http://schemas.openxmlformats.org/officeDocument/2006/relationships" name="样本误差" sheetId="3" r:id="Ra9df8b2099474c0a"/>
    <x:sheet xmlns:r="http://schemas.openxmlformats.org/officeDocument/2006/relationships" name="姿态对误差" sheetId="4" r:id="R8a6ea0e4e4604a58"/>
    <x:sheet xmlns:r="http://schemas.openxmlformats.org/officeDocument/2006/relationships" name="模型设置" sheetId="5" r:id="Rcf55a359da1f4488"/>
    <x:sheet xmlns:r="http://schemas.openxmlformats.org/officeDocument/2006/relationships" name="数据来源" sheetId="6" r:id="R7ed3332f031d48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00"/>
    <x:numFmt numFmtId="202" formatCode="0.0%"/>
    <x:numFmt numFmtId="203" formatCode="0"/>
  </x:numFmts>
  <x:fonts count="6">
    <x:font>
      <x:sz val="11"/>
      <x:name val="Carlito"/>
    </x:font>
    <x:font>
      <x:sz val="10"/>
      <x:color rgb="FF243447"/>
      <x:name val="Arial"/>
    </x:font>
    <x:font>
      <x:b/>
      <x:sz val="14"/>
      <x:color rgb="FF183A59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183A5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A59"/>
      </x:patternFill>
    </x:fill>
    <x:fill>
      <x:patternFill patternType="solid">
        <x:fgColor rgb="FFEAF1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9C9D7"/>
      </x:bottom>
      <x:diagonal/>
    </x:border>
    <x:border>
      <x:left/>
      <x:right/>
      <x:top/>
      <x:bottom style="thin">
        <x:color rgb="FFFFFFFF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3358a67804e3a" /><Relationship Type="http://schemas.openxmlformats.org/officeDocument/2006/relationships/theme" Target="/xl/theme/theme1.xml" Id="Rccfd68ec5da546fc" /><Relationship Type="http://schemas.openxmlformats.org/officeDocument/2006/relationships/sharedStrings" Target="/xl/sharedStrings.xml" Id="R7b222a6300ea4ee9" /><Relationship Type="http://schemas.openxmlformats.org/officeDocument/2006/relationships/worksheet" Target="/xl/worksheets/sheet1.xml" Id="R6306f4309fa74a93" /><Relationship Type="http://schemas.openxmlformats.org/officeDocument/2006/relationships/worksheet" Target="/xl/worksheets/sheet2.xml" Id="R77a9349635d94580" /><Relationship Type="http://schemas.openxmlformats.org/officeDocument/2006/relationships/worksheet" Target="/xl/worksheets/sheet3.xml" Id="Ra9df8b2099474c0a" /><Relationship Type="http://schemas.openxmlformats.org/officeDocument/2006/relationships/worksheet" Target="/xl/worksheets/sheet4.xml" Id="R8a6ea0e4e4604a58" /><Relationship Type="http://schemas.openxmlformats.org/officeDocument/2006/relationships/worksheet" Target="/xl/worksheets/sheet5.xml" Id="Rcf55a359da1f4488" /><Relationship Type="http://schemas.openxmlformats.org/officeDocument/2006/relationships/worksheet" Target="/xl/worksheets/sheet6.xml" Id="R7ed3332f031d487e" /></Relationships>
</file>

<file path=xl/tables/table1.xml><?xml version="1.0" encoding="utf-8"?>
<x:table xmlns:x="http://schemas.openxmlformats.org/spreadsheetml/2006/main" id="1" name="CaptureErrors" displayName="CaptureErrors" ref="A6:L26" headerRowCount="1" totalsRowCount="0" totalsRowShown="0">
  <x:tableColumns count="12">
    <x:tableColumn id="1" name="样本ID"/>
    <x:tableColumn id="2" name="像素前(px)"/>
    <x:tableColumn id="3" name="像素后(px)"/>
    <x:tableColumn id="4" name="变化(px)"/>
    <x:tableColumn id="5" name="固定板平移前(mm)"/>
    <x:tableColumn id="6" name="固定板平移后(mm)"/>
    <x:tableColumn id="7" name="变化(mm)"/>
    <x:tableColumn id="8" name="固定板旋转前(°)"/>
    <x:tableColumn id="9" name="固定板旋转后(°)"/>
    <x:tableColumn id="10" name="变化(°)"/>
    <x:tableColumn id="11" name="PnP残差(px)"/>
    <x:tableColumn id="12" name="质量标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tionPairErrors" displayName="MotionPairErrors" ref="A6:H196" headerRowCount="1" totalsRowCount="0" totalsRowShown="0">
  <x:tableColumns count="8">
    <x:tableColumn id="1" name="姿态i"/>
    <x:tableColumn id="2" name="姿态j"/>
    <x:tableColumn id="3" name="相对平移前(mm)"/>
    <x:tableColumn id="4" name="相对平移后(mm)"/>
    <x:tableColumn id="5" name="变化(mm)"/>
    <x:tableColumn id="6" name="相对旋转前(°)"/>
    <x:tableColumn id="7" name="相对旋转后(°)"/>
    <x:tableColumn id="8" name="变化(°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5bf8c70635c40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57e74da527b43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9" max="9" width="20" hidden="0" customWidth="1"/>
    <x:col min="10" max="10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3" t="str">
        <x:v>FR16 MDH 修正前后实验结果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5" t="str">
        <x:v>修正后采用10项MDH候选模型，并联合估计法兰到相机及固定标定板位姿。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30" customHeight="1">
      <x:c r="A5" s="9" t="str">
        <x:v>验证指标</x:v>
      </x:c>
      <x:c r="B5" s="9" t="str">
        <x:v>单位</x:v>
      </x:c>
      <x:c r="C5" s="9" t="str">
        <x:v>统计数</x:v>
      </x:c>
      <x:c r="D5" s="9" t="str">
        <x:v>修正前RMSE</x:v>
      </x:c>
      <x:c r="E5" s="9" t="str">
        <x:v>修正后RMSE</x:v>
      </x:c>
      <x:c r="F5" s="9" t="str">
        <x:v>变化(后−前)</x:v>
      </x:c>
      <x:c r="G5" s="9" t="str">
        <x:v>改善幅度</x:v>
      </x:c>
      <x:c r="H5" s="2"/>
      <x:c r="I5" s="9" t="str">
        <x:v>数据概况</x:v>
      </x:c>
      <x:c r="J5" s="9" t="str">
        <x:v>数值</x:v>
      </x:c>
    </x:row>
    <x:row r="6" ht="26" customHeight="1">
      <x:c r="A6" s="2" t="str">
        <x:v>像素重投影误差</x:v>
      </x:c>
      <x:c r="B6" s="2" t="str">
        <x:v>px</x:v>
      </x:c>
      <x:c r="C6" s="2" t="n">
        <x:v>20</x:v>
      </x:c>
      <x:c r="D6" s="10" t="n">
        <x:f>SQRT(SUMSQ('样本误差'!B7:B26)/COUNT('样本误差'!B7:B26))</x:f>
        <x:v>3.588708068818005</x:v>
      </x:c>
      <x:c r="E6" s="10" t="n">
        <x:f>SQRT(SUMSQ('样本误差'!C7:C26)/COUNT('样本误差'!C7:C26))</x:f>
        <x:v>1.1543778795356083</x:v>
      </x:c>
      <x:c r="F6" s="10" t="n">
        <x:f>E6-D6</x:f>
        <x:v>-2.434330189282397</x:v>
      </x:c>
      <x:c r="G6" s="14" t="n">
        <x:f>(D6-E6)/D6</x:f>
        <x:v>0.6783305141017447</x:v>
      </x:c>
      <x:c r="H6" s="2"/>
      <x:c r="I6" s="2" t="str">
        <x:v>旋转关节</x:v>
      </x:c>
      <x:c r="J6" s="15" t="n">
        <x:v>6</x:v>
      </x:c>
    </x:row>
    <x:row r="7" ht="26" customHeight="1">
      <x:c r="A7" s="2" t="str">
        <x:v>固定板平移误差</x:v>
      </x:c>
      <x:c r="B7" s="2" t="str">
        <x:v>mm</x:v>
      </x:c>
      <x:c r="C7" s="2" t="n">
        <x:v>20</x:v>
      </x:c>
      <x:c r="D7" s="10" t="n">
        <x:f>SQRT(SUMSQ('样本误差'!E7:E26)/COUNT('样本误差'!E7:E26))</x:f>
        <x:v>0.9723570718784159</x:v>
      </x:c>
      <x:c r="E7" s="10" t="n">
        <x:f>SQRT(SUMSQ('样本误差'!F7:F26)/COUNT('样本误差'!F7:F26))</x:f>
        <x:v>0.42427572688292226</x:v>
      </x:c>
      <x:c r="F7" s="10" t="n">
        <x:f>E7-D7</x:f>
        <x:v>-0.5480813449954937</x:v>
      </x:c>
      <x:c r="G7" s="14" t="n">
        <x:f>(D7-E7)/D7</x:f>
        <x:v>0.5636626305773668</x:v>
      </x:c>
      <x:c r="H7" s="2"/>
      <x:c r="I7" s="2" t="str">
        <x:v>MDH原始项</x:v>
      </x:c>
      <x:c r="J7" s="15" t="n">
        <x:v>24</x:v>
      </x:c>
    </x:row>
    <x:row r="8" ht="26" customHeight="1">
      <x:c r="A8" s="2" t="str">
        <x:v>固定板旋转误差</x:v>
      </x:c>
      <x:c r="B8" s="2" t="str">
        <x:v>°</x:v>
      </x:c>
      <x:c r="C8" s="2" t="n">
        <x:v>20</x:v>
      </x:c>
      <x:c r="D8" s="10" t="n">
        <x:f>SQRT(SUMSQ('样本误差'!H7:H26)/COUNT('样本误差'!H7:H26))</x:f>
        <x:v>0.2713381448057859</x:v>
      </x:c>
      <x:c r="E8" s="10" t="n">
        <x:f>SQRT(SUMSQ('样本误差'!I7:I26)/COUNT('样本误差'!I7:I26))</x:f>
        <x:v>0.27921663398008834</x:v>
      </x:c>
      <x:c r="F8" s="10" t="n">
        <x:f>E8-D8</x:f>
        <x:v>0.00787848917430245</x:v>
      </x:c>
      <x:c r="G8" s="14" t="n">
        <x:f>(D8-E8)/D8</x:f>
        <x:v>-0.02903568600699909</x:v>
      </x:c>
      <x:c r="H8" s="2"/>
      <x:c r="I8" s="2" t="str">
        <x:v>本次修正MDH项</x:v>
      </x:c>
      <x:c r="J8" s="15" t="n">
        <x:v>10</x:v>
      </x:c>
    </x:row>
    <x:row r="9" ht="26" customHeight="1">
      <x:c r="A9" s="2" t="str">
        <x:v>相对运动平移误差</x:v>
      </x:c>
      <x:c r="B9" s="2" t="str">
        <x:v>mm</x:v>
      </x:c>
      <x:c r="C9" s="2" t="n">
        <x:v>190</x:v>
      </x:c>
      <x:c r="D9" s="10" t="n">
        <x:f>SQRT(SUMSQ('姿态对误差'!C7:C196)/COUNT('姿态对误差'!C7:C196))</x:f>
        <x:v>2.0135270314162668</x:v>
      </x:c>
      <x:c r="E9" s="10" t="n">
        <x:f>SQRT(SUMSQ('姿态对误差'!D7:D196)/COUNT('姿态对误差'!D7:D196))</x:f>
        <x:v>1.9106486161688172</x:v>
      </x:c>
      <x:c r="F9" s="10" t="n">
        <x:f>E9-D9</x:f>
        <x:v>-0.10287841524744956</x:v>
      </x:c>
      <x:c r="G9" s="14" t="n">
        <x:f>(D9-E9)/D9</x:f>
        <x:v>0.0510936350206768</x:v>
      </x:c>
      <x:c r="H9" s="2"/>
      <x:c r="I9" s="2" t="str">
        <x:v>局部可观测方向</x:v>
      </x:c>
      <x:c r="J9" s="15" t="n">
        <x:v>16</x:v>
      </x:c>
    </x:row>
    <x:row r="10" ht="26" customHeight="1">
      <x:c r="A10" s="2" t="str">
        <x:v>相对运动旋转误差</x:v>
      </x:c>
      <x:c r="B10" s="2" t="str">
        <x:v>°</x:v>
      </x:c>
      <x:c r="C10" s="2" t="n">
        <x:v>190</x:v>
      </x:c>
      <x:c r="D10" s="10" t="n">
        <x:f>SQRT(SUMSQ('姿态对误差'!F7:F196)/COUNT('姿态对误差'!F7:F196))</x:f>
        <x:v>0.34891898677635924</x:v>
      </x:c>
      <x:c r="E10" s="10" t="n">
        <x:f>SQRT(SUMSQ('姿态对误差'!G7:G196)/COUNT('姿态对误差'!G7:G196))</x:f>
        <x:v>0.37615479949598124</x:v>
      </x:c>
      <x:c r="F10" s="10" t="n">
        <x:f>E10-D10</x:f>
        <x:v>0.027235812719622</x:v>
      </x:c>
      <x:c r="G10" s="14" t="n">
        <x:f>(D10-E10)/D10</x:f>
        <x:v>-0.07805769749377062</x:v>
      </x:c>
      <x:c r="H10" s="2"/>
      <x:c r="I10" s="2" t="str">
        <x:v>拟合样本</x:v>
      </x:c>
      <x:c r="J10" s="15" t="n">
        <x:v>35</x:v>
      </x:c>
    </x:row>
    <x:row r="11">
      <x:c r="A11" s="2"/>
      <x:c r="B11" s="2"/>
      <x:c r="C11" s="2"/>
      <x:c r="D11" s="2"/>
      <x:c r="E11" s="2"/>
      <x:c r="F11" s="2"/>
      <x:c r="G11" s="2"/>
      <x:c r="H11" s="2"/>
      <x:c r="I11" s="2" t="str">
        <x:v>独立会话样本</x:v>
      </x:c>
      <x:c r="J11" s="15" t="n">
        <x:v>20</x:v>
      </x:c>
    </x:row>
    <x:row r="12" ht="24" customHeight="1">
      <x:c r="A12" s="13" t="str">
        <x:v>结果解读</x:v>
      </x:c>
      <x:c r="B12" s="13"/>
      <x:c r="C12" s="13"/>
      <x:c r="D12" s="13"/>
      <x:c r="E12" s="13"/>
      <x:c r="F12" s="13"/>
      <x:c r="G12" s="13"/>
      <x:c r="H12" s="2"/>
      <x:c r="I12" s="2" t="str">
        <x:v>姿态对</x:v>
      </x:c>
      <x:c r="J12" s="15" t="n">
        <x:v>190</x:v>
      </x:c>
    </x:row>
    <x:row r="13" ht="23" customHeight="1">
      <x:c r="A13" s="2" t="str">
        <x:v>像素误差和固定板平移一致性下降；两项旋转误差未同步改善。</x:v>
      </x:c>
      <x:c r="B13" s="2"/>
      <x:c r="C13" s="2"/>
      <x:c r="D13" s="2"/>
      <x:c r="E13" s="2"/>
      <x:c r="F13" s="2"/>
      <x:c r="G13" s="2"/>
      <x:c r="H13" s="2"/>
      <x:c r="I13" s="2"/>
      <x:c r="J13" s="2"/>
    </x:row>
    <x:row r="14" ht="23" customHeight="1">
      <x:c r="A14" s="2" t="str">
        <x:v>相对运动误差也依赖估计得到的相机外参。当前没有独立法兰空间真值，不能据此宣称机械臂绝对定位精度提高。</x:v>
      </x:c>
      <x:c r="B14" s="2"/>
      <x:c r="C14" s="2"/>
      <x:c r="D14" s="2"/>
      <x:c r="E14" s="2"/>
      <x:c r="F14" s="2"/>
      <x:c r="G14" s="2"/>
      <x:c r="H14" s="2"/>
      <x:c r="I14" s="2"/>
      <x:c r="J14" s="2"/>
    </x:row>
    <x:row r="15" ht="23" customHeight="1">
      <x:c r="A15" s="2" t="str">
        <x:v>190个姿态对共享20组原始样本，不代表190次独立采集。</x:v>
      </x:c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9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2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7" customHeight="1">
      <x:c r="A2" s="3" t="str">
        <x:v>FR16 六关节 Craig-MDH 参数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5" t="str">
        <x:v>旋转α、θ以度显示；长度a、d以毫米显示。修正后为选定10项与相机位姿联合拟合的候选值。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0" customHeight="1">
      <x:c r="A6" s="9" t="str">
        <x:v>关节</x:v>
      </x:c>
      <x:c r="B6" s="9" t="str">
        <x:v>原α(°)</x:v>
      </x:c>
      <x:c r="C6" s="9" t="str">
        <x:v>原a(mm)</x:v>
      </x:c>
      <x:c r="D6" s="9" t="str">
        <x:v>原d(mm)</x:v>
      </x:c>
      <x:c r="E6" s="9" t="str">
        <x:v>原θ(°)</x:v>
      </x:c>
      <x:c r="F6" s="9" t="str">
        <x:v>新α(°)</x:v>
      </x:c>
      <x:c r="G6" s="9" t="str">
        <x:v>新a(mm)</x:v>
      </x:c>
      <x:c r="H6" s="9" t="str">
        <x:v>新d(mm)</x:v>
      </x:c>
      <x:c r="I6" s="9" t="str">
        <x:v>新θ(°)</x:v>
      </x:c>
      <x:c r="J6" s="9" t="str">
        <x:v>Δα(mrad)</x:v>
      </x:c>
      <x:c r="K6" s="9" t="str">
        <x:v>Δa(mm)</x:v>
      </x:c>
      <x:c r="L6" s="9" t="str">
        <x:v>Δd(mm)</x:v>
      </x:c>
      <x:c r="M6" s="9" t="str">
        <x:v>Δθ(mrad)</x:v>
      </x:c>
      <x:c r="N6" s="9" t="str">
        <x:v>参与修正的项</x:v>
      </x:c>
    </x:row>
    <x:row r="7">
      <x:c r="A7" s="2" t="n">
        <x:v>1</x:v>
      </x:c>
      <x:c r="B7" s="11" t="n">
        <x:v>0</x:v>
      </x:c>
      <x:c r="C7" s="11" t="n">
        <x:v>0</x:v>
      </x:c>
      <x:c r="D7" s="11" t="n">
        <x:v>180</x:v>
      </x:c>
      <x:c r="E7" s="11" t="n">
        <x:v>0</x:v>
      </x:c>
      <x:c r="F7" s="11" t="n">
        <x:v>0</x:v>
      </x:c>
      <x:c r="G7" s="11" t="n">
        <x:v>0</x:v>
      </x:c>
      <x:c r="H7" s="11" t="n">
        <x:v>180</x:v>
      </x:c>
      <x:c r="I7" s="11" t="n">
        <x:v>0</x:v>
      </x:c>
      <x:c r="J7" s="11" t="n">
        <x:f>(F7-B7)*PI()/180*1000</x:f>
        <x:v>0</x:v>
      </x:c>
      <x:c r="K7" s="11" t="n">
        <x:f>G7-C7</x:f>
        <x:v>0</x:v>
      </x:c>
      <x:c r="L7" s="11" t="n">
        <x:f>H7-D7</x:f>
        <x:v>0</x:v>
      </x:c>
      <x:c r="M7" s="11" t="n">
        <x:f>(I7-E7)*PI()/180*1000</x:f>
        <x:v>0</x:v>
      </x:c>
      <x:c r="N7" s="2" t="str">
        <x:v>未调整</x:v>
      </x:c>
    </x:row>
    <x:row r="8">
      <x:c r="A8" s="2" t="n">
        <x:v>2</x:v>
      </x:c>
      <x:c r="B8" s="11" t="n">
        <x:v>90</x:v>
      </x:c>
      <x:c r="C8" s="11" t="n">
        <x:v>0</x:v>
      </x:c>
      <x:c r="D8" s="11" t="n">
        <x:v>0</x:v>
      </x:c>
      <x:c r="E8" s="11" t="n">
        <x:v>0</x:v>
      </x:c>
      <x:c r="F8" s="11" t="n">
        <x:v>90.15004126283108</x:v>
      </x:c>
      <x:c r="G8" s="11" t="n">
        <x:v>5.949125769279229</x:v>
      </x:c>
      <x:c r="H8" s="11" t="n">
        <x:v>0</x:v>
      </x:c>
      <x:c r="I8" s="11" t="n">
        <x:v>0.01866279176278604</x:v>
      </x:c>
      <x:c r="J8" s="11" t="n">
        <x:f>(F8-B8)*PI()/180*1000</x:f>
        <x:v>2.6187140502525557</x:v>
      </x:c>
      <x:c r="K8" s="11" t="n">
        <x:f>G8-C8</x:f>
        <x:v>5.949125769279229</x:v>
      </x:c>
      <x:c r="L8" s="11" t="n">
        <x:f>H8-D8</x:f>
        <x:v>0</x:v>
      </x:c>
      <x:c r="M8" s="11" t="n">
        <x:f>(I8-E8)*PI()/180*1000</x:f>
        <x:v>0.3257271638746929</x:v>
      </x:c>
      <x:c r="N8" s="2" t="str">
        <x:v>α、a、θ</x:v>
      </x:c>
    </x:row>
    <x:row r="9">
      <x:c r="A9" s="2" t="n">
        <x:v>3</x:v>
      </x:c>
      <x:c r="B9" s="11" t="n">
        <x:v>0</x:v>
      </x:c>
      <x:c r="C9" s="11" t="n">
        <x:v>-520</x:v>
      </x:c>
      <x:c r="D9" s="11" t="n">
        <x:v>0</x:v>
      </x:c>
      <x:c r="E9" s="11" t="n">
        <x:v>0</x:v>
      </x:c>
      <x:c r="F9" s="11" t="n">
        <x:v>0</x:v>
      </x:c>
      <x:c r="G9" s="11" t="n">
        <x:v>-520.8194598219679</x:v>
      </x:c>
      <x:c r="H9" s="11" t="n">
        <x:v>0</x:v>
      </x:c>
      <x:c r="I9" s="11" t="n">
        <x:v>-0.11178157403960393</x:v>
      </x:c>
      <x:c r="J9" s="11" t="n">
        <x:f>(F9-B9)*PI()/180*1000</x:f>
        <x:v>0</x:v>
      </x:c>
      <x:c r="K9" s="11" t="n">
        <x:f>G9-C9</x:f>
        <x:v>-0.8194598219679392</x:v>
      </x:c>
      <x:c r="L9" s="11" t="n">
        <x:f>H9-D9</x:f>
        <x:v>0</x:v>
      </x:c>
      <x:c r="M9" s="11" t="n">
        <x:f>(I9-E9)*PI()/180*1000</x:f>
        <x:v>-1.9509565100529065</x:v>
      </x:c>
      <x:c r="N9" s="2" t="str">
        <x:v>a、θ</x:v>
      </x:c>
    </x:row>
    <x:row r="10">
      <x:c r="A10" s="2" t="n">
        <x:v>4</x:v>
      </x:c>
      <x:c r="B10" s="11" t="n">
        <x:v>0</x:v>
      </x:c>
      <x:c r="C10" s="11" t="n">
        <x:v>-400</x:v>
      </x:c>
      <x:c r="D10" s="11" t="n">
        <x:v>159</x:v>
      </x:c>
      <x:c r="E10" s="11" t="n">
        <x:v>0</x:v>
      </x:c>
      <x:c r="F10" s="11" t="n">
        <x:v>0</x:v>
      </x:c>
      <x:c r="G10" s="11" t="n">
        <x:v>-400</x:v>
      </x:c>
      <x:c r="H10" s="11" t="n">
        <x:v>158.18548104417394</x:v>
      </x:c>
      <x:c r="I10" s="11" t="n">
        <x:v>-0.008142810623242494</x:v>
      </x:c>
      <x:c r="J10" s="11" t="n">
        <x:f>(F10-B10)*PI()/180*1000</x:f>
        <x:v>0</x:v>
      </x:c>
      <x:c r="K10" s="11" t="n">
        <x:f>G10-C10</x:f>
        <x:v>0</x:v>
      </x:c>
      <x:c r="L10" s="11" t="n">
        <x:f>H10-D10</x:f>
        <x:v>-0.8145189558260597</x:v>
      </x:c>
      <x:c r="M10" s="11" t="n">
        <x:f>(I10-E10)*PI()/180*1000</x:f>
        <x:v>-0.14211885574195302</x:v>
      </x:c>
      <x:c r="N10" s="2" t="str">
        <x:v>d、θ</x:v>
      </x:c>
    </x:row>
    <x:row r="11">
      <x:c r="A11" s="2" t="n">
        <x:v>5</x:v>
      </x:c>
      <x:c r="B11" s="11" t="n">
        <x:v>90</x:v>
      </x:c>
      <x:c r="C11" s="11" t="n">
        <x:v>0</x:v>
      </x:c>
      <x:c r="D11" s="11" t="n">
        <x:v>114</x:v>
      </x:c>
      <x:c r="E11" s="11" t="n">
        <x:v>0</x:v>
      </x:c>
      <x:c r="F11" s="11" t="n">
        <x:v>89.99431067569401</x:v>
      </x:c>
      <x:c r="G11" s="11" t="n">
        <x:v>0</x:v>
      </x:c>
      <x:c r="H11" s="11" t="n">
        <x:v>115.80220980284065</x:v>
      </x:c>
      <x:c r="I11" s="11" t="n">
        <x:v>-0.08976023197844041</x:v>
      </x:c>
      <x:c r="J11" s="11" t="n">
        <x:f>(F11-B11)*PI()/180*1000</x:f>
        <x:v>-0.09929744135327279</x:v>
      </x:c>
      <x:c r="K11" s="11" t="n">
        <x:f>G11-C11</x:f>
        <x:v>0</x:v>
      </x:c>
      <x:c r="L11" s="11" t="n">
        <x:f>H11-D11</x:f>
        <x:v>1.8022098028406504</x:v>
      </x:c>
      <x:c r="M11" s="11" t="n">
        <x:f>(I11-E11)*PI()/180*1000</x:f>
        <x:v>-1.5666115853776892</x:v>
      </x:c>
      <x:c r="N11" s="2" t="str">
        <x:v>α、d、θ</x:v>
      </x:c>
    </x:row>
    <x:row r="12">
      <x:c r="A12" s="2" t="n">
        <x:v>6</x:v>
      </x:c>
      <x:c r="B12" s="11" t="n">
        <x:v>-90</x:v>
      </x:c>
      <x:c r="C12" s="11" t="n">
        <x:v>0</x:v>
      </x:c>
      <x:c r="D12" s="11" t="n">
        <x:v>0</x:v>
      </x:c>
      <x:c r="E12" s="11" t="n">
        <x:v>0</x:v>
      </x:c>
      <x:c r="F12" s="11" t="n">
        <x:v>-90</x:v>
      </x:c>
      <x:c r="G12" s="11" t="n">
        <x:v>0</x:v>
      </x:c>
      <x:c r="H12" s="11" t="n">
        <x:v>0</x:v>
      </x:c>
      <x:c r="I12" s="11" t="n">
        <x:v>0</x:v>
      </x:c>
      <x:c r="J12" s="11" t="n">
        <x:f>(F12-B12)*PI()/180*1000</x:f>
        <x:v>0</x:v>
      </x:c>
      <x:c r="K12" s="11" t="n">
        <x:f>G12-C12</x:f>
        <x:v>0</x:v>
      </x:c>
      <x:c r="L12" s="11" t="n">
        <x:f>H12-D12</x:f>
        <x:v>0</x:v>
      </x:c>
      <x:c r="M12" s="11" t="n">
        <x:f>(I12-E12)*PI()/180*1000</x:f>
        <x:v>0</x:v>
      </x:c>
      <x:c r="N12" s="2" t="str">
        <x:v>未调整</x:v>
      </x:c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13" t="str">
        <x:v>模型定义</x:v>
      </x:c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</x:row>
    <x:row r="16">
      <x:c r="A16" s="2" t="str">
        <x:v>Aᵢ = Rx(αᵢ) Tx(aᵢ) Rz(qᵢ+θᵢ) Tz(dᵢ)，六个旋转关节后接固定腕部到法兰段与法兰到相机变换。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 t="str">
        <x:v>24个MDH候选项中，当前数据消去相机与标定板位姿后的局部秩为16；本表仅估计10项，其余保持原值。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 t="str">
        <x:v>“第七段”是固定相机安装变换，并非第七个旋转MDH关节。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16" hidden="0" customWidth="1"/>
    <x:col min="12" max="12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7" customHeight="1">
      <x:c r="A2" s="3" t="str">
        <x:v>独立20组图像的逐样本误差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5" t="str">
        <x:v>每组含88个棋盘角点；“变化”=修正后−修正前，正值表示该误差增大。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0" customHeight="1">
      <x:c r="A6" s="9" t="str">
        <x:v>样本ID</x:v>
      </x:c>
      <x:c r="B6" s="9" t="str">
        <x:v>像素前(px)</x:v>
      </x:c>
      <x:c r="C6" s="9" t="str">
        <x:v>像素后(px)</x:v>
      </x:c>
      <x:c r="D6" s="9" t="str">
        <x:v>变化(px)</x:v>
      </x:c>
      <x:c r="E6" s="9" t="str">
        <x:v>固定板平移前(mm)</x:v>
      </x:c>
      <x:c r="F6" s="9" t="str">
        <x:v>固定板平移后(mm)</x:v>
      </x:c>
      <x:c r="G6" s="9" t="str">
        <x:v>变化(mm)</x:v>
      </x:c>
      <x:c r="H6" s="9" t="str">
        <x:v>固定板旋转前(°)</x:v>
      </x:c>
      <x:c r="I6" s="9" t="str">
        <x:v>固定板旋转后(°)</x:v>
      </x:c>
      <x:c r="J6" s="9" t="str">
        <x:v>变化(°)</x:v>
      </x:c>
      <x:c r="K6" s="9" t="str">
        <x:v>PnP残差(px)</x:v>
      </x:c>
      <x:c r="L6" s="9" t="str">
        <x:v>质量标记</x:v>
      </x:c>
    </x:row>
    <x:row r="7">
      <x:c r="A7" s="2" t="str">
        <x:v>mdh_independent_test_20260927:0001</x:v>
      </x:c>
      <x:c r="B7" s="10" t="n">
        <x:v>1.8555923842405713</x:v>
      </x:c>
      <x:c r="C7" s="10" t="n">
        <x:v>0.6839444785872717</x:v>
      </x:c>
      <x:c r="D7" s="10" t="n">
        <x:f>C7-B7</x:f>
        <x:v>-1.1716479056532996</x:v>
      </x:c>
      <x:c r="E7" s="10" t="n">
        <x:v>0.4176956655017331</x:v>
      </x:c>
      <x:c r="F7" s="10" t="n">
        <x:v>0.22473871693214556</x:v>
      </x:c>
      <x:c r="G7" s="10" t="n">
        <x:f>F7-E7</x:f>
        <x:v>-0.19295694856958753</x:v>
      </x:c>
      <x:c r="H7" s="10" t="n">
        <x:v>0.1326128909136988</x:v>
      </x:c>
      <x:c r="I7" s="10" t="n">
        <x:v>0.3801140993877692</x:v>
      </x:c>
      <x:c r="J7" s="10" t="n">
        <x:f>I7-H7</x:f>
        <x:v>0.2475012084740704</x:v>
      </x:c>
      <x:c r="K7" s="10" t="n">
        <x:v>0.19727823555341345</x:v>
      </x:c>
      <x:c r="L7" s="2" t="str">
        <x:v>无</x:v>
      </x:c>
    </x:row>
    <x:row r="8">
      <x:c r="A8" s="2" t="str">
        <x:v>mdh_independent_test_20260927:0002</x:v>
      </x:c>
      <x:c r="B8" s="10" t="n">
        <x:v>2.460986904878618</x:v>
      </x:c>
      <x:c r="C8" s="10" t="n">
        <x:v>1.1432012428395661</x:v>
      </x:c>
      <x:c r="D8" s="10" t="n">
        <x:f>C8-B8</x:f>
        <x:v>-1.3177856620390518</x:v>
      </x:c>
      <x:c r="E8" s="10" t="n">
        <x:v>0.7611347242197225</x:v>
      </x:c>
      <x:c r="F8" s="10" t="n">
        <x:v>0.32071354109560896</x:v>
      </x:c>
      <x:c r="G8" s="10" t="n">
        <x:f>F8-E8</x:f>
        <x:v>-0.44042118312411355</x:v>
      </x:c>
      <x:c r="H8" s="10" t="n">
        <x:v>0.1410623581548765</x:v>
      </x:c>
      <x:c r="I8" s="10" t="n">
        <x:v>0.3097173980775794</x:v>
      </x:c>
      <x:c r="J8" s="10" t="n">
        <x:f>I8-H8</x:f>
        <x:v>0.16865503992270292</x:v>
      </x:c>
      <x:c r="K8" s="10" t="n">
        <x:v>0.1363192156454562</x:v>
      </x:c>
      <x:c r="L8" s="2" t="str">
        <x:v>无</x:v>
      </x:c>
    </x:row>
    <x:row r="9">
      <x:c r="A9" s="2" t="str">
        <x:v>mdh_independent_test_20260927:0003</x:v>
      </x:c>
      <x:c r="B9" s="10" t="n">
        <x:v>0.49391579346601433</x:v>
      </x:c>
      <x:c r="C9" s="10" t="n">
        <x:v>0.5042188343514551</x:v>
      </x:c>
      <x:c r="D9" s="10" t="n">
        <x:f>C9-B9</x:f>
        <x:v>0.010303040885440762</x:v>
      </x:c>
      <x:c r="E9" s="10" t="n">
        <x:v>0.15493154148844218</x:v>
      </x:c>
      <x:c r="F9" s="10" t="n">
        <x:v>0.35320026638181545</x:v>
      </x:c>
      <x:c r="G9" s="10" t="n">
        <x:f>F9-E9</x:f>
        <x:v>0.19826872489337327</x:v>
      </x:c>
      <x:c r="H9" s="10" t="n">
        <x:v>0.06046167832861089</x:v>
      </x:c>
      <x:c r="I9" s="10" t="n">
        <x:v>0.17836857899688868</x:v>
      </x:c>
      <x:c r="J9" s="10" t="n">
        <x:f>I9-H9</x:f>
        <x:v>0.11790690066827779</x:v>
      </x:c>
      <x:c r="K9" s="10" t="n">
        <x:v>0.1893555996621737</x:v>
      </x:c>
      <x:c r="L9" s="2" t="str">
        <x:v>无</x:v>
      </x:c>
    </x:row>
    <x:row r="10">
      <x:c r="A10" s="2" t="str">
        <x:v>mdh_independent_test_20260927:0004</x:v>
      </x:c>
      <x:c r="B10" s="10" t="n">
        <x:v>2.606711069539307</x:v>
      </x:c>
      <x:c r="C10" s="10" t="n">
        <x:v>0.6983062653766028</x:v>
      </x:c>
      <x:c r="D10" s="10" t="n">
        <x:f>C10-B10</x:f>
        <x:v>-1.9084048041627042</x:v>
      </x:c>
      <x:c r="E10" s="10" t="n">
        <x:v>0.7416535030225858</x:v>
      </x:c>
      <x:c r="F10" s="10" t="n">
        <x:v>0.5731652024000675</x:v>
      </x:c>
      <x:c r="G10" s="10" t="n">
        <x:f>F10-E10</x:f>
        <x:v>-0.1684883006225183</x:v>
      </x:c>
      <x:c r="H10" s="10" t="n">
        <x:v>0.3728747445679125</x:v>
      </x:c>
      <x:c r="I10" s="10" t="n">
        <x:v>0.45680497542060977</x:v>
      </x:c>
      <x:c r="J10" s="10" t="n">
        <x:f>I10-H10</x:f>
        <x:v>0.0839302308526973</x:v>
      </x:c>
      <x:c r="K10" s="10" t="n">
        <x:v>0.09202297455550079</x:v>
      </x:c>
      <x:c r="L10" s="2" t="str">
        <x:v>无</x:v>
      </x:c>
    </x:row>
    <x:row r="11">
      <x:c r="A11" s="2" t="str">
        <x:v>mdh_independent_test_20260927:0005</x:v>
      </x:c>
      <x:c r="B11" s="10" t="n">
        <x:v>5.17185592872097</x:v>
      </x:c>
      <x:c r="C11" s="10" t="n">
        <x:v>0.7564900738177407</x:v>
      </x:c>
      <x:c r="D11" s="10" t="n">
        <x:f>C11-B11</x:f>
        <x:v>-4.4153658549032295</x:v>
      </x:c>
      <x:c r="E11" s="10" t="n">
        <x:v>1.0584652598112145</x:v>
      </x:c>
      <x:c r="F11" s="10" t="n">
        <x:v>0.2522054600499879</x:v>
      </x:c>
      <x:c r="G11" s="10" t="n">
        <x:f>F11-E11</x:f>
        <x:v>-0.8062597997612266</x:v>
      </x:c>
      <x:c r="H11" s="10" t="n">
        <x:v>0.2112346063737369</x:v>
      </x:c>
      <x:c r="I11" s="10" t="n">
        <x:v>0.07632459607998107</x:v>
      </x:c>
      <x:c r="J11" s="10" t="n">
        <x:f>I11-H11</x:f>
        <x:v>-0.13491001029375582</x:v>
      </x:c>
      <x:c r="K11" s="10" t="n">
        <x:v>0.29065159316120565</x:v>
      </x:c>
      <x:c r="L11" s="2" t="str">
        <x:v>无</x:v>
      </x:c>
    </x:row>
    <x:row r="12">
      <x:c r="A12" s="2" t="str">
        <x:v>mdh_independent_test_20260927:0006</x:v>
      </x:c>
      <x:c r="B12" s="10" t="n">
        <x:v>3.262059287594395</x:v>
      </x:c>
      <x:c r="C12" s="10" t="n">
        <x:v>0.34419608920519046</x:v>
      </x:c>
      <x:c r="D12" s="10" t="n">
        <x:f>C12-B12</x:f>
        <x:v>-2.9178631983892043</x:v>
      </x:c>
      <x:c r="E12" s="10" t="n">
        <x:v>1.1111214093788542</x:v>
      </x:c>
      <x:c r="F12" s="10" t="n">
        <x:v>0.4369285521849184</x:v>
      </x:c>
      <x:c r="G12" s="10" t="n">
        <x:f>F12-E12</x:f>
        <x:v>-0.6741928571939357</x:v>
      </x:c>
      <x:c r="H12" s="10" t="n">
        <x:v>0.11638686516399817</x:v>
      </x:c>
      <x:c r="I12" s="10" t="n">
        <x:v>0.3594921940988026</x:v>
      </x:c>
      <x:c r="J12" s="10" t="n">
        <x:f>I12-H12</x:f>
        <x:v>0.24310532893480447</x:v>
      </x:c>
      <x:c r="K12" s="10" t="n">
        <x:v>0.09737522775763661</x:v>
      </x:c>
      <x:c r="L12" s="2" t="str">
        <x:v>无</x:v>
      </x:c>
    </x:row>
    <x:row r="13">
      <x:c r="A13" s="2" t="str">
        <x:v>mdh_independent_test_20260927:0007</x:v>
      </x:c>
      <x:c r="B13" s="10" t="n">
        <x:v>3.984936514288799</x:v>
      </x:c>
      <x:c r="C13" s="10" t="n">
        <x:v>0.903665425911717</x:v>
      </x:c>
      <x:c r="D13" s="10" t="n">
        <x:f>C13-B13</x:f>
        <x:v>-3.0812710883770817</x:v>
      </x:c>
      <x:c r="E13" s="10" t="n">
        <x:v>1.6265117069861066</x:v>
      </x:c>
      <x:c r="F13" s="10" t="n">
        <x:v>0.5636973692887293</x:v>
      </x:c>
      <x:c r="G13" s="10" t="n">
        <x:f>F13-E13</x:f>
        <x:v>-1.0628143376973773</x:v>
      </x:c>
      <x:c r="H13" s="10" t="n">
        <x:v>0.5059570863996613</x:v>
      </x:c>
      <x:c r="I13" s="10" t="n">
        <x:v>0.16442045535303892</x:v>
      </x:c>
      <x:c r="J13" s="10" t="n">
        <x:f>I13-H13</x:f>
        <x:v>-0.34153663104662235</x:v>
      </x:c>
      <x:c r="K13" s="10" t="n">
        <x:v>0.09734353547095619</x:v>
      </x:c>
      <x:c r="L13" s="2" t="str">
        <x:v>无</x:v>
      </x:c>
    </x:row>
    <x:row r="14">
      <x:c r="A14" s="2" t="str">
        <x:v>mdh_independent_test_20260927:0008</x:v>
      </x:c>
      <x:c r="B14" s="10" t="n">
        <x:v>2.855627533173057</x:v>
      </x:c>
      <x:c r="C14" s="10" t="n">
        <x:v>1.71016428621383</x:v>
      </x:c>
      <x:c r="D14" s="10" t="n">
        <x:f>C14-B14</x:f>
        <x:v>-1.145463246959227</x:v>
      </x:c>
      <x:c r="E14" s="10" t="n">
        <x:v>0.941924617687924</x:v>
      </x:c>
      <x:c r="F14" s="10" t="n">
        <x:v>0.5447789279420466</x:v>
      </x:c>
      <x:c r="G14" s="10" t="n">
        <x:f>F14-E14</x:f>
        <x:v>-0.3971456897458774</x:v>
      </x:c>
      <x:c r="H14" s="10" t="n">
        <x:v>0.420258985772744</x:v>
      </x:c>
      <x:c r="I14" s="10" t="n">
        <x:v>0.30782326985087216</x:v>
      </x:c>
      <x:c r="J14" s="10" t="n">
        <x:f>I14-H14</x:f>
        <x:v>-0.11243571592187185</x:v>
      </x:c>
      <x:c r="K14" s="10" t="n">
        <x:v>0.11035413421414744</x:v>
      </x:c>
      <x:c r="L14" s="2" t="str">
        <x:v>无</x:v>
      </x:c>
    </x:row>
    <x:row r="15">
      <x:c r="A15" s="2" t="str">
        <x:v>mdh_independent_test_20260927:0009</x:v>
      </x:c>
      <x:c r="B15" s="10" t="n">
        <x:v>0.9968452986500337</x:v>
      </x:c>
      <x:c r="C15" s="10" t="n">
        <x:v>1.6318240232404906</x:v>
      </x:c>
      <x:c r="D15" s="10" t="n">
        <x:f>C15-B15</x:f>
        <x:v>0.6349787245904569</x:v>
      </x:c>
      <x:c r="E15" s="10" t="n">
        <x:v>0.7528131633812927</x:v>
      </x:c>
      <x:c r="F15" s="10" t="n">
        <x:v>0.5665573420338277</x:v>
      </x:c>
      <x:c r="G15" s="10" t="n">
        <x:f>F15-E15</x:f>
        <x:v>-0.186255821347465</x:v>
      </x:c>
      <x:c r="H15" s="10" t="n">
        <x:v>0.39207911638142257</x:v>
      </x:c>
      <x:c r="I15" s="10" t="n">
        <x:v>0.24805117450659847</x:v>
      </x:c>
      <x:c r="J15" s="10" t="n">
        <x:f>I15-H15</x:f>
        <x:v>-0.1440279418748241</x:v>
      </x:c>
      <x:c r="K15" s="10" t="n">
        <x:v>0.13791944424344976</x:v>
      </x:c>
      <x:c r="L15" s="2" t="str">
        <x:v>无</x:v>
      </x:c>
    </x:row>
    <x:row r="16">
      <x:c r="A16" s="2" t="str">
        <x:v>mdh_independent_test_20260927:0010</x:v>
      </x:c>
      <x:c r="B16" s="10" t="n">
        <x:v>2.114962374404231</x:v>
      </x:c>
      <x:c r="C16" s="10" t="n">
        <x:v>0.7299589626564597</x:v>
      </x:c>
      <x:c r="D16" s="10" t="n">
        <x:f>C16-B16</x:f>
        <x:v>-1.3850034117477712</x:v>
      </x:c>
      <x:c r="E16" s="10" t="n">
        <x:v>0.7447736993213492</x:v>
      </x:c>
      <x:c r="F16" s="10" t="n">
        <x:v>0.2863375099770875</x:v>
      </x:c>
      <x:c r="G16" s="10" t="n">
        <x:f>F16-E16</x:f>
        <x:v>-0.45843618934426167</x:v>
      </x:c>
      <x:c r="H16" s="10" t="n">
        <x:v>0.18285831972751446</x:v>
      </x:c>
      <x:c r="I16" s="10" t="n">
        <x:v>0.18729538174474003</x:v>
      </x:c>
      <x:c r="J16" s="10" t="n">
        <x:f>I16-H16</x:f>
        <x:v>0.004437062017225574</x:v>
      </x:c>
      <x:c r="K16" s="10" t="n">
        <x:v>0.1701755647457013</x:v>
      </x:c>
      <x:c r="L16" s="2" t="str">
        <x:v>无</x:v>
      </x:c>
    </x:row>
    <x:row r="17">
      <x:c r="A17" s="2" t="str">
        <x:v>mdh_independent_test_20260927:0011</x:v>
      </x:c>
      <x:c r="B17" s="10" t="n">
        <x:v>0.8174510354000739</x:v>
      </x:c>
      <x:c r="C17" s="10" t="n">
        <x:v>0.6583338183162883</x:v>
      </x:c>
      <x:c r="D17" s="10" t="n">
        <x:f>C17-B17</x:f>
        <x:v>-0.15911721708378557</x:v>
      </x:c>
      <x:c r="E17" s="10" t="n">
        <x:v>0.3044372376754698</x:v>
      </x:c>
      <x:c r="F17" s="10" t="n">
        <x:v>0.31737182319576257</x:v>
      </x:c>
      <x:c r="G17" s="10" t="n">
        <x:f>F17-E17</x:f>
        <x:v>0.012934585520292752</x:v>
      </x:c>
      <x:c r="H17" s="10" t="n">
        <x:v>0.06490290147657152</x:v>
      </x:c>
      <x:c r="I17" s="10" t="n">
        <x:v>0.1270932731670031</x:v>
      </x:c>
      <x:c r="J17" s="10" t="n">
        <x:f>I17-H17</x:f>
        <x:v>0.062190371690431595</x:v>
      </x:c>
      <x:c r="K17" s="10" t="n">
        <x:v>0.17723373700370013</x:v>
      </x:c>
      <x:c r="L17" s="2" t="str">
        <x:v>无</x:v>
      </x:c>
    </x:row>
    <x:row r="18">
      <x:c r="A18" s="2" t="str">
        <x:v>mdh_independent_test_20260927:0012</x:v>
      </x:c>
      <x:c r="B18" s="10" t="n">
        <x:v>1.880701442944936</x:v>
      </x:c>
      <x:c r="C18" s="10" t="n">
        <x:v>0.853088432650833</x:v>
      </x:c>
      <x:c r="D18" s="10" t="n">
        <x:f>C18-B18</x:f>
        <x:v>-1.027613010294103</x:v>
      </x:c>
      <x:c r="E18" s="10" t="n">
        <x:v>0.6142551482351086</x:v>
      </x:c>
      <x:c r="F18" s="10" t="n">
        <x:v>0.22872300425747652</x:v>
      </x:c>
      <x:c r="G18" s="10" t="n">
        <x:f>F18-E18</x:f>
        <x:v>-0.38553214397763214</x:v>
      </x:c>
      <x:c r="H18" s="10" t="n">
        <x:v>0.08984774201367501</x:v>
      </x:c>
      <x:c r="I18" s="10" t="n">
        <x:v>0.2555713895913924</x:v>
      </x:c>
      <x:c r="J18" s="10" t="n">
        <x:f>I18-H18</x:f>
        <x:v>0.1657236475777174</x:v>
      </x:c>
      <x:c r="K18" s="10" t="n">
        <x:v>0.16146592661165352</x:v>
      </x:c>
      <x:c r="L18" s="2" t="str">
        <x:v>无</x:v>
      </x:c>
    </x:row>
    <x:row r="19">
      <x:c r="A19" s="2" t="str">
        <x:v>mdh_independent_test_20260927:0013</x:v>
      </x:c>
      <x:c r="B19" s="10" t="n">
        <x:v>2.8314740352145984</x:v>
      </x:c>
      <x:c r="C19" s="10" t="n">
        <x:v>0.8778295334481953</x:v>
      </x:c>
      <x:c r="D19" s="10" t="n">
        <x:f>C19-B19</x:f>
        <x:v>-1.9536445017664033</x:v>
      </x:c>
      <x:c r="E19" s="10" t="n">
        <x:v>0.7086448655394487</x:v>
      </x:c>
      <x:c r="F19" s="10" t="n">
        <x:v>0.46665620963964294</x:v>
      </x:c>
      <x:c r="G19" s="10" t="n">
        <x:f>F19-E19</x:f>
        <x:v>-0.24198865589980578</x:v>
      </x:c>
      <x:c r="H19" s="10" t="n">
        <x:v>0.14199641890608894</x:v>
      </x:c>
      <x:c r="I19" s="10" t="n">
        <x:v>0.4266176281236146</x:v>
      </x:c>
      <x:c r="J19" s="10" t="n">
        <x:f>I19-H19</x:f>
        <x:v>0.28462120921752565</x:v>
      </x:c>
      <x:c r="K19" s="10" t="n">
        <x:v>0.16522363978399232</x:v>
      </x:c>
      <x:c r="L19" s="2" t="str">
        <x:v>无</x:v>
      </x:c>
    </x:row>
    <x:row r="20">
      <x:c r="A20" s="2" t="str">
        <x:v>mdh_independent_test_20260927:0014</x:v>
      </x:c>
      <x:c r="B20" s="10" t="n">
        <x:v>1.0788447235987697</x:v>
      </x:c>
      <x:c r="C20" s="10" t="n">
        <x:v>0.8193678284905889</x:v>
      </x:c>
      <x:c r="D20" s="10" t="n">
        <x:f>C20-B20</x:f>
        <x:v>-0.25947689510818084</x:v>
      </x:c>
      <x:c r="E20" s="10" t="n">
        <x:v>0.8390953243315944</x:v>
      </x:c>
      <x:c r="F20" s="10" t="n">
        <x:v>0.5183607545444305</x:v>
      </x:c>
      <x:c r="G20" s="10" t="n">
        <x:f>F20-E20</x:f>
        <x:v>-0.32073456978716386</x:v>
      </x:c>
      <x:c r="H20" s="10" t="n">
        <x:v>0.2997209339531987</x:v>
      </x:c>
      <x:c r="I20" s="10" t="n">
        <x:v>0.1483496131952413</x:v>
      </x:c>
      <x:c r="J20" s="10" t="n">
        <x:f>I20-H20</x:f>
        <x:v>-0.15137132075795742</x:v>
      </x:c>
      <x:c r="K20" s="10" t="n">
        <x:v>0.13470934841610124</x:v>
      </x:c>
      <x:c r="L20" s="2" t="str">
        <x:v>无</x:v>
      </x:c>
    </x:row>
    <x:row r="21">
      <x:c r="A21" s="2" t="str">
        <x:v>mdh_independent_test_20260927:0015</x:v>
      </x:c>
      <x:c r="B21" s="10" t="n">
        <x:v>5.01939476505567</x:v>
      </x:c>
      <x:c r="C21" s="10" t="n">
        <x:v>1.8884496118824579</x:v>
      </x:c>
      <x:c r="D21" s="10" t="n">
        <x:f>C21-B21</x:f>
        <x:v>-3.1309451531732115</x:v>
      </x:c>
      <x:c r="E21" s="10" t="n">
        <x:v>1.0746632988892824</x:v>
      </x:c>
      <x:c r="F21" s="10" t="n">
        <x:v>0.6071658263379719</x:v>
      </x:c>
      <x:c r="G21" s="10" t="n">
        <x:f>F21-E21</x:f>
        <x:v>-0.46749747255131047</x:v>
      </x:c>
      <x:c r="H21" s="10" t="n">
        <x:v>0.14109838909452</x:v>
      </x:c>
      <x:c r="I21" s="10" t="n">
        <x:v>0.27942817517169005</x:v>
      </x:c>
      <x:c r="J21" s="10" t="n">
        <x:f>I21-H21</x:f>
        <x:v>0.13832978607717006</x:v>
      </x:c>
      <x:c r="K21" s="10" t="n">
        <x:v>0.2581892619956893</x:v>
      </x:c>
      <x:c r="L21" s="2" t="str">
        <x:v>无</x:v>
      </x:c>
    </x:row>
    <x:row r="22">
      <x:c r="A22" s="2" t="str">
        <x:v>mdh_independent_test_20260927:0016</x:v>
      </x:c>
      <x:c r="B22" s="10" t="n">
        <x:v>4.671499488301669</x:v>
      </x:c>
      <x:c r="C22" s="10" t="n">
        <x:v>1.603904820310451</x:v>
      </x:c>
      <x:c r="D22" s="10" t="n">
        <x:f>C22-B22</x:f>
        <x:v>-3.0675946679912185</x:v>
      </x:c>
      <x:c r="E22" s="10" t="n">
        <x:v>1.1715787221658795</x:v>
      </x:c>
      <x:c r="F22" s="10" t="n">
        <x:v>0.5226000460453972</x:v>
      </x:c>
      <x:c r="G22" s="10" t="n">
        <x:f>F22-E22</x:f>
        <x:v>-0.6489786761204823</x:v>
      </x:c>
      <x:c r="H22" s="10" t="n">
        <x:v>0.3485866644001971</x:v>
      </x:c>
      <x:c r="I22" s="10" t="n">
        <x:v>0.26898266567802365</x:v>
      </x:c>
      <x:c r="J22" s="10" t="n">
        <x:f>I22-H22</x:f>
        <x:v>-0.07960399872217344</x:v>
      </x:c>
      <x:c r="K22" s="10" t="n">
        <x:v>0.12400064117602594</x:v>
      </x:c>
      <x:c r="L22" s="2" t="str">
        <x:v>无</x:v>
      </x:c>
    </x:row>
    <x:row r="23">
      <x:c r="A23" s="2" t="str">
        <x:v>mdh_independent_test_20260927:0017</x:v>
      </x:c>
      <x:c r="B23" s="10" t="n">
        <x:v>6.914197506665393</x:v>
      </x:c>
      <x:c r="C23" s="10" t="n">
        <x:v>2.083136359633474</x:v>
      </x:c>
      <x:c r="D23" s="10" t="n">
        <x:f>C23-B23</x:f>
        <x:v>-4.831061147031919</x:v>
      </x:c>
      <x:c r="E23" s="10" t="n">
        <x:v>1.5881272750098054</x:v>
      </x:c>
      <x:c r="F23" s="10" t="n">
        <x:v>0.49850448660408786</x:v>
      </x:c>
      <x:c r="G23" s="10" t="n">
        <x:f>F23-E23</x:f>
        <x:v>-1.0896227884057175</x:v>
      </x:c>
      <x:c r="H23" s="10" t="n">
        <x:v>0.427656791393358</x:v>
      </x:c>
      <x:c r="I23" s="10" t="n">
        <x:v>0.24673862981186534</x:v>
      </x:c>
      <x:c r="J23" s="10" t="n">
        <x:f>I23-H23</x:f>
        <x:v>-0.18091816158149265</x:v>
      </x:c>
      <x:c r="K23" s="10" t="n">
        <x:v>0.199995097583686</x:v>
      </x:c>
      <x:c r="L23" s="2" t="str">
        <x:v>无</x:v>
      </x:c>
    </x:row>
    <x:row r="24">
      <x:c r="A24" s="2" t="str">
        <x:v>mdh_independent_test_20260927:0018</x:v>
      </x:c>
      <x:c r="B24" s="10" t="n">
        <x:v>6.047561516196117</x:v>
      </x:c>
      <x:c r="C24" s="10" t="n">
        <x:v>1.4985139322831549</x:v>
      </x:c>
      <x:c r="D24" s="10" t="n">
        <x:f>C24-B24</x:f>
        <x:v>-4.549047583912962</x:v>
      </x:c>
      <x:c r="E24" s="10" t="n">
        <x:v>1.5128011878295613</x:v>
      </x:c>
      <x:c r="F24" s="10" t="n">
        <x:v>0.331285741171979</x:v>
      </x:c>
      <x:c r="G24" s="10" t="n">
        <x:f>F24-E24</x:f>
        <x:v>-1.1815154466575823</x:v>
      </x:c>
      <x:c r="H24" s="10" t="n">
        <x:v>0.3443513915982292</x:v>
      </x:c>
      <x:c r="I24" s="10" t="n">
        <x:v>0.20659974130065553</x:v>
      </x:c>
      <x:c r="J24" s="10" t="n">
        <x:f>I24-H24</x:f>
        <x:v>-0.13775165029757366</x:v>
      </x:c>
      <x:c r="K24" s="10" t="n">
        <x:v>0.13226575028838003</x:v>
      </x:c>
      <x:c r="L24" s="2" t="str">
        <x:v>无</x:v>
      </x:c>
    </x:row>
    <x:row r="25">
      <x:c r="A25" s="2" t="str">
        <x:v>mdh_independent_test_20260927:0019</x:v>
      </x:c>
      <x:c r="B25" s="10" t="n">
        <x:v>5.03578317075456</x:v>
      </x:c>
      <x:c r="C25" s="10" t="n">
        <x:v>0.9606452687509786</x:v>
      </x:c>
      <x:c r="D25" s="10" t="n">
        <x:f>C25-B25</x:f>
        <x:v>-4.075137902003582</x:v>
      </x:c>
      <x:c r="E25" s="10" t="n">
        <x:v>1.1579638269599013</x:v>
      </x:c>
      <x:c r="F25" s="10" t="n">
        <x:v>0.2744387583146681</x:v>
      </x:c>
      <x:c r="G25" s="10" t="n">
        <x:f>F25-E25</x:f>
        <x:v>-0.8835250686452332</x:v>
      </x:c>
      <x:c r="H25" s="10" t="n">
        <x:v>0.20921904614601103</x:v>
      </x:c>
      <x:c r="I25" s="10" t="n">
        <x:v>0.4075056720392671</x:v>
      </x:c>
      <x:c r="J25" s="10" t="n">
        <x:f>I25-H25</x:f>
        <x:v>0.19828662589325605</x:v>
      </x:c>
      <x:c r="K25" s="10" t="n">
        <x:v>0.16260834838946575</x:v>
      </x:c>
      <x:c r="L25" s="2" t="str">
        <x:v>无</x:v>
      </x:c>
    </x:row>
    <x:row r="26">
      <x:c r="A26" s="2" t="str">
        <x:v>mdh_independent_test_20260927:0020</x:v>
      </x:c>
      <x:c r="B26" s="10" t="n">
        <x:v>2.0014575454240147</x:v>
      </x:c>
      <x:c r="C26" s="10" t="n">
        <x:v>0.5077329170889932</x:v>
      </x:c>
      <x:c r="D26" s="10" t="n">
        <x:f>C26-B26</x:f>
        <x:v>-1.4937246283350216</x:v>
      </x:c>
      <x:c r="E26" s="10" t="n">
        <x:v>0.4661062080052717</x:v>
      </x:c>
      <x:c r="F26" s="10" t="n">
        <x:v>0.08182500829277374</x:v>
      </x:c>
      <x:c r="G26" s="10" t="n">
        <x:f>F26-E26</x:f>
        <x:v>-0.38428119971249797</x:v>
      </x:c>
      <x:c r="H26" s="10" t="n">
        <x:v>0.07368586584636976</x:v>
      </x:c>
      <x:c r="I26" s="10" t="n">
        <x:v>0.13909300573587743</x:v>
      </x:c>
      <x:c r="J26" s="10" t="n">
        <x:f>I26-H26</x:f>
        <x:v>0.06540713988950768</x:v>
      </x:c>
      <x:c r="K26" s="10" t="n">
        <x:v>0.30577011585380653</x:v>
      </x:c>
      <x:c r="L26" s="2" t="str">
        <x:v>无</x:v>
      </x:c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</x:sheetData>
  <x:pageMargins left="0.7" right="0.7" top="0.75" bottom="0.75" header="0.3" footer="0.3"/>
  <x:tableParts count="1">
    <x:tablePart xmlns:r="http://schemas.openxmlformats.org/officeDocument/2006/relationships" r:id="Rb5bf8c70635c405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2" hidden="0" customWidth="1"/>
    <x:col min="2" max="2" width="42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7" customHeight="1">
      <x:c r="A2" s="3" t="str">
        <x:v>独立20组形成的190个姿态对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5" t="str">
        <x:v>相对运动由视觉观测和关节角计算得到；190对共享20组样本。变化=修正后−修正前。</x:v>
      </x:c>
      <x:c r="B4" s="2"/>
      <x:c r="C4" s="2"/>
      <x:c r="D4" s="2"/>
      <x:c r="E4" s="2"/>
      <x:c r="F4" s="2"/>
      <x:c r="G4" s="2"/>
      <x:c r="H4" s="2"/>
    </x:row>
    <x:row r="5">
      <x:c r="A5" s="2"/>
      <x:c r="B5" s="2"/>
      <x:c r="C5" s="2"/>
      <x:c r="D5" s="2"/>
      <x:c r="E5" s="2"/>
      <x:c r="F5" s="2"/>
      <x:c r="G5" s="2"/>
      <x:c r="H5" s="2"/>
    </x:row>
    <x:row r="6" ht="30" customHeight="1">
      <x:c r="A6" s="9" t="str">
        <x:v>姿态i</x:v>
      </x:c>
      <x:c r="B6" s="9" t="str">
        <x:v>姿态j</x:v>
      </x:c>
      <x:c r="C6" s="9" t="str">
        <x:v>相对平移前(mm)</x:v>
      </x:c>
      <x:c r="D6" s="9" t="str">
        <x:v>相对平移后(mm)</x:v>
      </x:c>
      <x:c r="E6" s="9" t="str">
        <x:v>变化(mm)</x:v>
      </x:c>
      <x:c r="F6" s="9" t="str">
        <x:v>相对旋转前(°)</x:v>
      </x:c>
      <x:c r="G6" s="9" t="str">
        <x:v>相对旋转后(°)</x:v>
      </x:c>
      <x:c r="H6" s="9" t="str">
        <x:v>变化(°)</x:v>
      </x:c>
    </x:row>
    <x:row r="7">
      <x:c r="A7" s="2" t="str">
        <x:v>mdh_independent_test_20260927:0001</x:v>
      </x:c>
      <x:c r="B7" s="2" t="str">
        <x:v>mdh_independent_test_20260927:0002</x:v>
      </x:c>
      <x:c r="C7" s="10" t="n">
        <x:v>0.7073345536324415</x:v>
      </x:c>
      <x:c r="D7" s="10" t="n">
        <x:v>0.8176565588454447</x:v>
      </x:c>
      <x:c r="E7" s="10" t="n">
        <x:f>D7-C7</x:f>
        <x:v>0.11032200521300328</x:v>
      </x:c>
      <x:c r="F7" s="10" t="n">
        <x:v>0.12810532992923873</x:v>
      </x:c>
      <x:c r="G7" s="10" t="n">
        <x:v>0.1127101427581272</x:v>
      </x:c>
      <x:c r="H7" s="10" t="n">
        <x:f>G7-F7</x:f>
        <x:v>-0.015395187171111532</x:v>
      </x:c>
    </x:row>
    <x:row r="8">
      <x:c r="A8" s="2" t="str">
        <x:v>mdh_independent_test_20260927:0001</x:v>
      </x:c>
      <x:c r="B8" s="2" t="str">
        <x:v>mdh_independent_test_20260927:0003</x:v>
      </x:c>
      <x:c r="C8" s="10" t="n">
        <x:v>0.9966785020528237</x:v>
      </x:c>
      <x:c r="D8" s="10" t="n">
        <x:v>1.290018495928784</x:v>
      </x:c>
      <x:c r="E8" s="10" t="n">
        <x:f>D8-C8</x:f>
        <x:v>0.2933399938759602</x:v>
      </x:c>
      <x:c r="F8" s="10" t="n">
        <x:v>0.17323332612065487</x:v>
      </x:c>
      <x:c r="G8" s="10" t="n">
        <x:v>0.24235299665867313</x:v>
      </x:c>
      <x:c r="H8" s="10" t="n">
        <x:f>G8-F8</x:f>
        <x:v>0.06911967053801826</x:v>
      </x:c>
    </x:row>
    <x:row r="9">
      <x:c r="A9" s="2" t="str">
        <x:v>mdh_independent_test_20260927:0001</x:v>
      </x:c>
      <x:c r="B9" s="2" t="str">
        <x:v>mdh_independent_test_20260927:0004</x:v>
      </x:c>
      <x:c r="C9" s="10" t="n">
        <x:v>2.1750069581696465</x:v>
      </x:c>
      <x:c r="D9" s="10" t="n">
        <x:v>1.0591239617281525</x:v>
      </x:c>
      <x:c r="E9" s="10" t="n">
        <x:f>D9-C9</x:f>
        <x:v>-1.115882996441494</x:v>
      </x:c>
      <x:c r="F9" s="10" t="n">
        <x:v>0.4998824300282157</x:v>
      </x:c>
      <x:c r="G9" s="10" t="n">
        <x:v>0.18019865440943933</x:v>
      </x:c>
      <x:c r="H9" s="10" t="n">
        <x:f>G9-F9</x:f>
        <x:v>-0.31968377561877637</x:v>
      </x:c>
    </x:row>
    <x:row r="10">
      <x:c r="A10" s="2" t="str">
        <x:v>mdh_independent_test_20260927:0001</x:v>
      </x:c>
      <x:c r="B10" s="2" t="str">
        <x:v>mdh_independent_test_20260927:0005</x:v>
      </x:c>
      <x:c r="C10" s="10" t="n">
        <x:v>0.9041912650765761</x:v>
      </x:c>
      <x:c r="D10" s="10" t="n">
        <x:v>2.005340116575204</x:v>
      </x:c>
      <x:c r="E10" s="10" t="n">
        <x:f>D10-C10</x:f>
        <x:v>1.1011488514986278</x:v>
      </x:c>
      <x:c r="F10" s="10" t="n">
        <x:v>0.25261757852724437</x:v>
      </x:c>
      <x:c r="G10" s="10" t="n">
        <x:v>0.4137525962106496</x:v>
      </x:c>
      <x:c r="H10" s="10" t="n">
        <x:f>G10-F10</x:f>
        <x:v>0.1611350176834052</x:v>
      </x:c>
    </x:row>
    <x:row r="11">
      <x:c r="A11" s="2" t="str">
        <x:v>mdh_independent_test_20260927:0001</x:v>
      </x:c>
      <x:c r="B11" s="2" t="str">
        <x:v>mdh_independent_test_20260927:0006</x:v>
      </x:c>
      <x:c r="C11" s="10" t="n">
        <x:v>1.3890385056443324</x:v>
      </x:c>
      <x:c r="D11" s="10" t="n">
        <x:v>3.8522001061162543</x:v>
      </x:c>
      <x:c r="E11" s="10" t="n">
        <x:f>D11-C11</x:f>
        <x:v>2.463161600471922</x:v>
      </x:c>
      <x:c r="F11" s="10" t="n">
        <x:v>0.15149524443540452</x:v>
      </x:c>
      <x:c r="G11" s="10" t="n">
        <x:v>0.6862377502313242</x:v>
      </x:c>
      <x:c r="H11" s="10" t="n">
        <x:f>G11-F11</x:f>
        <x:v>0.5347425057959196</x:v>
      </x:c>
    </x:row>
    <x:row r="12">
      <x:c r="A12" s="2" t="str">
        <x:v>mdh_independent_test_20260927:0001</x:v>
      </x:c>
      <x:c r="B12" s="2" t="str">
        <x:v>mdh_independent_test_20260927:0007</x:v>
      </x:c>
      <x:c r="C12" s="10" t="n">
        <x:v>1.469742459070945</x:v>
      </x:c>
      <x:c r="D12" s="10" t="n">
        <x:v>2.561162891878967</x:v>
      </x:c>
      <x:c r="E12" s="10" t="n">
        <x:f>D12-C12</x:f>
        <x:v>1.0914204328080221</x:v>
      </x:c>
      <x:c r="F12" s="10" t="n">
        <x:v>0.505560971317679</x:v>
      </x:c>
      <x:c r="G12" s="10" t="n">
        <x:v>0.4804139740865613</x:v>
      </x:c>
      <x:c r="H12" s="10" t="n">
        <x:f>G12-F12</x:f>
        <x:v>-0.025146997231117685</x:v>
      </x:c>
    </x:row>
    <x:row r="13">
      <x:c r="A13" s="2" t="str">
        <x:v>mdh_independent_test_20260927:0001</x:v>
      </x:c>
      <x:c r="B13" s="2" t="str">
        <x:v>mdh_independent_test_20260927:0008</x:v>
      </x:c>
      <x:c r="C13" s="10" t="n">
        <x:v>1.3810536420687543</x:v>
      </x:c>
      <x:c r="D13" s="10" t="n">
        <x:v>3.0644497207289683</x:v>
      </x:c>
      <x:c r="E13" s="10" t="n">
        <x:f>D13-C13</x:f>
        <x:v>1.683396078660214</x:v>
      </x:c>
      <x:c r="F13" s="10" t="n">
        <x:v>0.33932848194168874</x:v>
      </x:c>
      <x:c r="G13" s="10" t="n">
        <x:v>0.6123120842658534</x:v>
      </x:c>
      <x:c r="H13" s="10" t="n">
        <x:f>G13-F13</x:f>
        <x:v>0.27298360232416463</x:v>
      </x:c>
    </x:row>
    <x:row r="14">
      <x:c r="A14" s="2" t="str">
        <x:v>mdh_independent_test_20260927:0001</x:v>
      </x:c>
      <x:c r="B14" s="2" t="str">
        <x:v>mdh_independent_test_20260927:0009</x:v>
      </x:c>
      <x:c r="C14" s="10" t="n">
        <x:v>0.8032358771544992</x:v>
      </x:c>
      <x:c r="D14" s="10" t="n">
        <x:v>2.5753129870183913</x:v>
      </x:c>
      <x:c r="E14" s="10" t="n">
        <x:f>D14-C14</x:f>
        <x:v>1.772077109863892</x:v>
      </x:c>
      <x:c r="F14" s="10" t="n">
        <x:v>0.3351214872770836</x:v>
      </x:c>
      <x:c r="G14" s="10" t="n">
        <x:v>0.49041445686725543</x:v>
      </x:c>
      <x:c r="H14" s="10" t="n">
        <x:f>G14-F14</x:f>
        <x:v>0.15529296959017186</x:v>
      </x:c>
    </x:row>
    <x:row r="15">
      <x:c r="A15" s="2" t="str">
        <x:v>mdh_independent_test_20260927:0001</x:v>
      </x:c>
      <x:c r="B15" s="2" t="str">
        <x:v>mdh_independent_test_20260927:0010</x:v>
      </x:c>
      <x:c r="C15" s="10" t="n">
        <x:v>1.8631402859451838</x:v>
      </x:c>
      <x:c r="D15" s="10" t="n">
        <x:v>1.7220788288885998</x:v>
      </x:c>
      <x:c r="E15" s="10" t="n">
        <x:f>D15-C15</x:f>
        <x:v>-0.14106145705658402</x:v>
      </x:c>
      <x:c r="F15" s="10" t="n">
        <x:v>0.3042121239744538</x:v>
      </x:c>
      <x:c r="G15" s="10" t="n">
        <x:v>0.3337708385537364</x:v>
      </x:c>
      <x:c r="H15" s="10" t="n">
        <x:f>G15-F15</x:f>
        <x:v>0.029558714579282608</x:v>
      </x:c>
    </x:row>
    <x:row r="16">
      <x:c r="A16" s="2" t="str">
        <x:v>mdh_independent_test_20260927:0001</x:v>
      </x:c>
      <x:c r="B16" s="2" t="str">
        <x:v>mdh_independent_test_20260927:0011</x:v>
      </x:c>
      <x:c r="C16" s="10" t="n">
        <x:v>1.0548566590641473</x:v>
      </x:c>
      <x:c r="D16" s="10" t="n">
        <x:v>1.6116834286582056</x:v>
      </x:c>
      <x:c r="E16" s="10" t="n">
        <x:f>D16-C16</x:f>
        <x:v>0.5568267695940583</x:v>
      </x:c>
      <x:c r="F16" s="10" t="n">
        <x:v>0.18686130829903844</x:v>
      </x:c>
      <x:c r="G16" s="10" t="n">
        <x:v>0.30607996623882927</x:v>
      </x:c>
      <x:c r="H16" s="10" t="n">
        <x:f>G16-F16</x:f>
        <x:v>0.11921865793979083</x:v>
      </x:c>
    </x:row>
    <x:row r="17">
      <x:c r="A17" s="2" t="str">
        <x:v>mdh_independent_test_20260927:0001</x:v>
      </x:c>
      <x:c r="B17" s="2" t="str">
        <x:v>mdh_independent_test_20260927:0012</x:v>
      </x:c>
      <x:c r="C17" s="10" t="n">
        <x:v>0.47019862407486707</x:v>
      </x:c>
      <x:c r="D17" s="10" t="n">
        <x:v>0.8490909078169689</x:v>
      </x:c>
      <x:c r="E17" s="10" t="n">
        <x:f>D17-C17</x:f>
        <x:v>0.3788922837421019</x:v>
      </x:c>
      <x:c r="F17" s="10" t="n">
        <x:v>0.16107780898360044</x:v>
      </x:c>
      <x:c r="G17" s="10" t="n">
        <x:v>0.14287191035235305</x:v>
      </x:c>
      <x:c r="H17" s="10" t="n">
        <x:f>G17-F17</x:f>
        <x:v>-0.018205898631247386</x:v>
      </x:c>
    </x:row>
    <x:row r="18">
      <x:c r="A18" s="2" t="str">
        <x:v>mdh_independent_test_20260927:0001</x:v>
      </x:c>
      <x:c r="B18" s="2" t="str">
        <x:v>mdh_independent_test_20260927:0013</x:v>
      </x:c>
      <x:c r="C18" s="10" t="n">
        <x:v>1.460476449818696</x:v>
      </x:c>
      <x:c r="D18" s="10" t="n">
        <x:v>0.9445481318904823</x:v>
      </x:c>
      <x:c r="E18" s="10" t="n">
        <x:f>D18-C18</x:f>
        <x:v>-0.5159283179282137</x:v>
      </x:c>
      <x:c r="F18" s="10" t="n">
        <x:v>0.2698859176923034</x:v>
      </x:c>
      <x:c r="G18" s="10" t="n">
        <x:v>0.16848290889669837</x:v>
      </x:c>
      <x:c r="H18" s="10" t="n">
        <x:f>G18-F18</x:f>
        <x:v>-0.10140300879560504</x:v>
      </x:c>
    </x:row>
    <x:row r="19">
      <x:c r="A19" s="2" t="str">
        <x:v>mdh_independent_test_20260927:0001</x:v>
      </x:c>
      <x:c r="B19" s="2" t="str">
        <x:v>mdh_independent_test_20260927:0014</x:v>
      </x:c>
      <x:c r="C19" s="10" t="n">
        <x:v>0.6810240586313808</x:v>
      </x:c>
      <x:c r="D19" s="10" t="n">
        <x:v>2.862657536993549</x:v>
      </x:c>
      <x:c r="E19" s="10" t="n">
        <x:f>D19-C19</x:f>
        <x:v>2.1816334783621683</x:v>
      </x:c>
      <x:c r="F19" s="10" t="n">
        <x:v>0.20747712129636325</x:v>
      </x:c>
      <x:c r="G19" s="10" t="n">
        <x:v>0.5071643188619425</x:v>
      </x:c>
      <x:c r="H19" s="10" t="n">
        <x:f>G19-F19</x:f>
        <x:v>0.2996871975655792</x:v>
      </x:c>
    </x:row>
    <x:row r="20">
      <x:c r="A20" s="2" t="str">
        <x:v>mdh_independent_test_20260927:0001</x:v>
      </x:c>
      <x:c r="B20" s="2" t="str">
        <x:v>mdh_independent_test_20260927:0015</x:v>
      </x:c>
      <x:c r="C20" s="10" t="n">
        <x:v>2.201229866716783</x:v>
      </x:c>
      <x:c r="D20" s="10" t="n">
        <x:v>2.5789791944879004</x:v>
      </x:c>
      <x:c r="E20" s="10" t="n">
        <x:f>D20-C20</x:f>
        <x:v>0.37774932777111747</x:v>
      </x:c>
      <x:c r="F20" s="10" t="n">
        <x:v>0.18449338051888245</x:v>
      </x:c>
      <x:c r="G20" s="10" t="n">
        <x:v>0.4914193453144948</x:v>
      </x:c>
      <x:c r="H20" s="10" t="n">
        <x:f>G20-F20</x:f>
        <x:v>0.3069259647956124</x:v>
      </x:c>
    </x:row>
    <x:row r="21">
      <x:c r="A21" s="2" t="str">
        <x:v>mdh_independent_test_20260927:0001</x:v>
      </x:c>
      <x:c r="B21" s="2" t="str">
        <x:v>mdh_independent_test_20260927:0016</x:v>
      </x:c>
      <x:c r="C21" s="10" t="n">
        <x:v>3.0113364012914996</x:v>
      </x:c>
      <x:c r="D21" s="10" t="n">
        <x:v>1.5456901150073985</x:v>
      </x:c>
      <x:c r="E21" s="10" t="n">
        <x:f>D21-C21</x:f>
        <x:v>-1.465646286284101</x:v>
      </x:c>
      <x:c r="F21" s="10" t="n">
        <x:v>0.4669162436344312</x:v>
      </x:c>
      <x:c r="G21" s="10" t="n">
        <x:v>0.29491926251229994</x:v>
      </x:c>
      <x:c r="H21" s="10" t="n">
        <x:f>G21-F21</x:f>
        <x:v>-0.17199698112213124</x:v>
      </x:c>
    </x:row>
    <x:row r="22">
      <x:c r="A22" s="2" t="str">
        <x:v>mdh_independent_test_20260927:0001</x:v>
      </x:c>
      <x:c r="B22" s="2" t="str">
        <x:v>mdh_independent_test_20260927:0017</x:v>
      </x:c>
      <x:c r="C22" s="10" t="n">
        <x:v>3.316460105777947</x:v>
      </x:c>
      <x:c r="D22" s="10" t="n">
        <x:v>1.3091121853276002</x:v>
      </x:c>
      <x:c r="E22" s="10" t="n">
        <x:f>D22-C22</x:f>
        <x:v>-2.007347920450347</x:v>
      </x:c>
      <x:c r="F22" s="10" t="n">
        <x:v>0.5343545478587558</x:v>
      </x:c>
      <x:c r="G22" s="10" t="n">
        <x:v>0.2812420303294231</x:v>
      </x:c>
      <x:c r="H22" s="10" t="n">
        <x:f>G22-F22</x:f>
        <x:v>-0.2531125175293327</x:v>
      </x:c>
    </x:row>
    <x:row r="23">
      <x:c r="A23" s="2" t="str">
        <x:v>mdh_independent_test_20260927:0001</x:v>
      </x:c>
      <x:c r="B23" s="2" t="str">
        <x:v>mdh_independent_test_20260927:0018</x:v>
      </x:c>
      <x:c r="C23" s="10" t="n">
        <x:v>1.6311084520633952</x:v>
      </x:c>
      <x:c r="D23" s="10" t="n">
        <x:v>2.803066331070344</x:v>
      </x:c>
      <x:c r="E23" s="10" t="n">
        <x:f>D23-C23</x:f>
        <x:v>1.1719578790069487</x:v>
      </x:c>
      <x:c r="F23" s="10" t="n">
        <x:v>0.3629127600792422</x:v>
      </x:c>
      <x:c r="G23" s="10" t="n">
        <x:v>0.5548722098131462</x:v>
      </x:c>
      <x:c r="H23" s="10" t="n">
        <x:f>G23-F23</x:f>
        <x:v>0.191959449733904</x:v>
      </x:c>
    </x:row>
    <x:row r="24">
      <x:c r="A24" s="2" t="str">
        <x:v>mdh_independent_test_20260927:0001</x:v>
      </x:c>
      <x:c r="B24" s="2" t="str">
        <x:v>mdh_independent_test_20260927:0019</x:v>
      </x:c>
      <x:c r="C24" s="10" t="n">
        <x:v>2.5640720041932457</x:v>
      </x:c>
      <x:c r="D24" s="10" t="n">
        <x:v>3.186417013517248</x:v>
      </x:c>
      <x:c r="E24" s="10" t="n">
        <x:f>D24-C24</x:f>
        <x:v>0.6223450093240022</x:v>
      </x:c>
      <x:c r="F24" s="10" t="n">
        <x:v>0.32807676853468515</x:v>
      </x:c>
      <x:c r="G24" s="10" t="n">
        <x:v>0.5978100580781406</x:v>
      </x:c>
      <x:c r="H24" s="10" t="n">
        <x:f>G24-F24</x:f>
        <x:v>0.26973328954345543</x:v>
      </x:c>
    </x:row>
    <x:row r="25">
      <x:c r="A25" s="2" t="str">
        <x:v>mdh_independent_test_20260927:0001</x:v>
      </x:c>
      <x:c r="B25" s="2" t="str">
        <x:v>mdh_independent_test_20260927:0020</x:v>
      </x:c>
      <x:c r="C25" s="10" t="n">
        <x:v>1.4785849853475375</x:v>
      </x:c>
      <x:c r="D25" s="10" t="n">
        <x:v>1.481979861114479</x:v>
      </x:c>
      <x:c r="E25" s="10" t="n">
        <x:f>D25-C25</x:f>
        <x:v>0.0033948757669415297</x:v>
      </x:c>
      <x:c r="F25" s="10" t="n">
        <x:v>0.20611682804385603</x:v>
      </x:c>
      <x:c r="G25" s="10" t="n">
        <x:v>0.30904558906182367</x:v>
      </x:c>
      <x:c r="H25" s="10" t="n">
        <x:f>G25-F25</x:f>
        <x:v>0.10292876101796763</x:v>
      </x:c>
    </x:row>
    <x:row r="26">
      <x:c r="A26" s="2" t="str">
        <x:v>mdh_independent_test_20260927:0002</x:v>
      </x:c>
      <x:c r="B26" s="2" t="str">
        <x:v>mdh_independent_test_20260927:0003</x:v>
      </x:c>
      <x:c r="C26" s="10" t="n">
        <x:v>1.4292189405429687</x:v>
      </x:c>
      <x:c r="D26" s="10" t="n">
        <x:v>1.0637539121201167</x:v>
      </x:c>
      <x:c r="E26" s="10" t="n">
        <x:f>D26-C26</x:f>
        <x:v>-0.365465028422852</x:v>
      </x:c>
      <x:c r="F26" s="10" t="n">
        <x:v>0.16354860208897962</x:v>
      </x:c>
      <x:c r="G26" s="10" t="n">
        <x:v>0.22039054668983485</x:v>
      </x:c>
      <x:c r="H26" s="10" t="n">
        <x:f>G26-F26</x:f>
        <x:v>0.05684194460085523</x:v>
      </x:c>
    </x:row>
    <x:row r="27">
      <x:c r="A27" s="2" t="str">
        <x:v>mdh_independent_test_20260927:0002</x:v>
      </x:c>
      <x:c r="B27" s="2" t="str">
        <x:v>mdh_independent_test_20260927:0004</x:v>
      </x:c>
      <x:c r="C27" s="10" t="n">
        <x:v>2.201928736946385</x:v>
      </x:c>
      <x:c r="D27" s="10" t="n">
        <x:v>1.6344644826819577</x:v>
      </x:c>
      <x:c r="E27" s="10" t="n">
        <x:f>D27-C27</x:f>
        <x:v>-0.5674642542644273</x:v>
      </x:c>
      <x:c r="F27" s="10" t="n">
        <x:v>0.4326033327262831</x:v>
      </x:c>
      <x:c r="G27" s="10" t="n">
        <x:v>0.2811179420909202</x:v>
      </x:c>
      <x:c r="H27" s="10" t="n">
        <x:f>G27-F27</x:f>
        <x:v>-0.15148539063536287</x:v>
      </x:c>
    </x:row>
    <x:row r="28">
      <x:c r="A28" s="2" t="str">
        <x:v>mdh_independent_test_20260927:0002</x:v>
      </x:c>
      <x:c r="B28" s="2" t="str">
        <x:v>mdh_independent_test_20260927:0005</x:v>
      </x:c>
      <x:c r="C28" s="10" t="n">
        <x:v>1.38522043643694</x:v>
      </x:c>
      <x:c r="D28" s="10" t="n">
        <x:v>1.4729430503329777</x:v>
      </x:c>
      <x:c r="E28" s="10" t="n">
        <x:f>D28-C28</x:f>
        <x:v>0.08772261389603764</x:v>
      </x:c>
      <x:c r="F28" s="10" t="n">
        <x:v>0.14613154901028377</x:v>
      </x:c>
      <x:c r="G28" s="10" t="n">
        <x:v>0.33432498504351355</x:v>
      </x:c>
      <x:c r="H28" s="10" t="n">
        <x:f>G28-F28</x:f>
        <x:v>0.18819343603322977</x:v>
      </x:c>
    </x:row>
    <x:row r="29">
      <x:c r="A29" s="2" t="str">
        <x:v>mdh_independent_test_20260927:0002</x:v>
      </x:c>
      <x:c r="B29" s="2" t="str">
        <x:v>mdh_independent_test_20260927:0006</x:v>
      </x:c>
      <x:c r="C29" s="10" t="n">
        <x:v>1.7623468011487549</x:v>
      </x:c>
      <x:c r="D29" s="10" t="n">
        <x:v>3.5227602528089377</x:v>
      </x:c>
      <x:c r="E29" s="10" t="n">
        <x:f>D29-C29</x:f>
        <x:v>1.7604134516601828</x:v>
      </x:c>
      <x:c r="F29" s="10" t="n">
        <x:v>0.07494456318358404</x:v>
      </x:c>
      <x:c r="G29" s="10" t="n">
        <x:v>0.6477305377199469</x:v>
      </x:c>
      <x:c r="H29" s="10" t="n">
        <x:f>G29-F29</x:f>
        <x:v>0.5727859745363629</x:v>
      </x:c>
    </x:row>
    <x:row r="30">
      <x:c r="A30" s="2" t="str">
        <x:v>mdh_independent_test_20260927:0002</x:v>
      </x:c>
      <x:c r="B30" s="2" t="str">
        <x:v>mdh_independent_test_20260927:0007</x:v>
      </x:c>
      <x:c r="C30" s="10" t="n">
        <x:v>0.8547220647142931</x:v>
      </x:c>
      <x:c r="D30" s="10" t="n">
        <x:v>1.8578517930289287</x:v>
      </x:c>
      <x:c r="E30" s="10" t="n">
        <x:f>D30-C30</x:f>
        <x:v>1.0031297283146356</x:v>
      </x:c>
      <x:c r="F30" s="10" t="n">
        <x:v>0.39921934989430435</x:v>
      </x:c>
      <x:c r="G30" s="10" t="n">
        <x:v>0.38598674643188635</x:v>
      </x:c>
      <x:c r="H30" s="10" t="n">
        <x:f>G30-F30</x:f>
        <x:v>-0.013232603462418002</x:v>
      </x:c>
    </x:row>
    <x:row r="31">
      <x:c r="A31" s="2" t="str">
        <x:v>mdh_independent_test_20260927:0002</x:v>
      </x:c>
      <x:c r="B31" s="2" t="str">
        <x:v>mdh_independent_test_20260927:0008</x:v>
      </x:c>
      <x:c r="C31" s="10" t="n">
        <x:v>1.5896954304716948</x:v>
      </x:c>
      <x:c r="D31" s="10" t="n">
        <x:v>2.2409155860099865</x:v>
      </x:c>
      <x:c r="E31" s="10" t="n">
        <x:f>D31-C31</x:f>
        <x:v>0.6512201555382917</x:v>
      </x:c>
      <x:c r="F31" s="10" t="n">
        <x:v>0.2830744378986549</x:v>
      </x:c>
      <x:c r="G31" s="10" t="n">
        <x:v>0.5086361212821784</x:v>
      </x:c>
      <x:c r="H31" s="10" t="n">
        <x:f>G31-F31</x:f>
        <x:v>0.2255616833835235</x:v>
      </x:c>
    </x:row>
    <x:row r="32">
      <x:c r="A32" s="2" t="str">
        <x:v>mdh_independent_test_20260927:0002</x:v>
      </x:c>
      <x:c r="B32" s="2" t="str">
        <x:v>mdh_independent_test_20260927:0009</x:v>
      </x:c>
      <x:c r="C32" s="10" t="n">
        <x:v>0.8503445200514443</x:v>
      </x:c>
      <x:c r="D32" s="10" t="n">
        <x:v>1.722318562853708</x:v>
      </x:c>
      <x:c r="E32" s="10" t="n">
        <x:f>D32-C32</x:f>
        <x:v>0.8719740428022638</x:v>
      </x:c>
      <x:c r="F32" s="10" t="n">
        <x:v>0.2516464098607428</x:v>
      </x:c>
      <x:c r="G32" s="10" t="n">
        <x:v>0.38324160854477746</x:v>
      </x:c>
      <x:c r="H32" s="10" t="n">
        <x:f>G32-F32</x:f>
        <x:v>0.13159519868403463</x:v>
      </x:c>
    </x:row>
    <x:row r="33">
      <x:c r="A33" s="2" t="str">
        <x:v>mdh_independent_test_20260927:0002</x:v>
      </x:c>
      <x:c r="B33" s="2" t="str">
        <x:v>mdh_independent_test_20260927:0010</x:v>
      </x:c>
      <x:c r="C33" s="10" t="n">
        <x:v>2.408272230401733</x:v>
      </x:c>
      <x:c r="D33" s="10" t="n">
        <x:v>1.6368458085721032</x:v>
      </x:c>
      <x:c r="E33" s="10" t="n">
        <x:f>D33-C33</x:f>
        <x:v>-0.7714264218296298</x:v>
      </x:c>
      <x:c r="F33" s="10" t="n">
        <x:v>0.30081387489019507</x:v>
      </x:c>
      <x:c r="G33" s="10" t="n">
        <x:v>0.3204329104060847</x:v>
      </x:c>
      <x:c r="H33" s="10" t="n">
        <x:f>G33-F33</x:f>
        <x:v>0.019619035515889616</x:v>
      </x:c>
    </x:row>
    <x:row r="34">
      <x:c r="A34" s="2" t="str">
        <x:v>mdh_independent_test_20260927:0002</x:v>
      </x:c>
      <x:c r="B34" s="2" t="str">
        <x:v>mdh_independent_test_20260927:0011</x:v>
      </x:c>
      <x:c r="C34" s="10" t="n">
        <x:v>1.5888142847115723</x:v>
      </x:c>
      <x:c r="D34" s="10" t="n">
        <x:v>1.312976650017415</x:v>
      </x:c>
      <x:c r="E34" s="10" t="n">
        <x:f>D34-C34</x:f>
        <x:v>-0.27583763469415734</x:v>
      </x:c>
      <x:c r="F34" s="10" t="n">
        <x:v>0.18368418363149236</x:v>
      </x:c>
      <x:c r="G34" s="10" t="n">
        <x:v>0.26734501191876775</x:v>
      </x:c>
      <x:c r="H34" s="10" t="n">
        <x:f>G34-F34</x:f>
        <x:v>0.08366082828727539</x:v>
      </x:c>
    </x:row>
    <x:row r="35">
      <x:c r="A35" s="2" t="str">
        <x:v>mdh_independent_test_20260927:0002</x:v>
      </x:c>
      <x:c r="B35" s="2" t="str">
        <x:v>mdh_independent_test_20260927:0012</x:v>
      </x:c>
      <x:c r="C35" s="10" t="n">
        <x:v>1.0410983070481195</x:v>
      </x:c>
      <x:c r="D35" s="10" t="n">
        <x:v>0.6183955945861958</x:v>
      </x:c>
      <x:c r="E35" s="10" t="n">
        <x:f>D35-C35</x:f>
        <x:v>-0.4227027124619237</x:v>
      </x:c>
      <x:c r="F35" s="10" t="n">
        <x:v>0.19416929094980864</x:v>
      </x:c>
      <x:c r="G35" s="10" t="n">
        <x:v>0.11879777364302811</x:v>
      </x:c>
      <x:c r="H35" s="10" t="n">
        <x:f>G35-F35</x:f>
        <x:v>-0.07537151730678053</x:v>
      </x:c>
    </x:row>
    <x:row r="36">
      <x:c r="A36" s="2" t="str">
        <x:v>mdh_independent_test_20260927:0002</x:v>
      </x:c>
      <x:c r="B36" s="2" t="str">
        <x:v>mdh_independent_test_20260927:0013</x:v>
      </x:c>
      <x:c r="C36" s="10" t="n">
        <x:v>1.553320598055125</x:v>
      </x:c>
      <x:c r="D36" s="10" t="n">
        <x:v>1.4696772642124938</x:v>
      </x:c>
      <x:c r="E36" s="10" t="n">
        <x:f>D36-C36</x:f>
        <x:v>-0.08364333384263123</x:v>
      </x:c>
      <x:c r="F36" s="10" t="n">
        <x:v>0.2564708403502666</x:v>
      </x:c>
      <x:c r="G36" s="10" t="n">
        <x:v>0.26203745408085277</x:v>
      </x:c>
      <x:c r="H36" s="10" t="n">
        <x:f>G36-F36</x:f>
        <x:v>0.005566613730586145</x:v>
      </x:c>
    </x:row>
    <x:row r="37">
      <x:c r="A37" s="2" t="str">
        <x:v>mdh_independent_test_20260927:0002</x:v>
      </x:c>
      <x:c r="B37" s="2" t="str">
        <x:v>mdh_independent_test_20260927:0014</x:v>
      </x:c>
      <x:c r="C37" s="10" t="n">
        <x:v>0.48387824461788853</x:v>
      </x:c>
      <x:c r="D37" s="10" t="n">
        <x:v>2.2541697458340604</x:v>
      </x:c>
      <x:c r="E37" s="10" t="n">
        <x:f>D37-C37</x:f>
        <x:v>1.770291501216172</x:v>
      </x:c>
      <x:c r="F37" s="10" t="n">
        <x:v>0.17555870838901705</x:v>
      </x:c>
      <x:c r="G37" s="10" t="n">
        <x:v>0.42469942226950114</x:v>
      </x:c>
      <x:c r="H37" s="10" t="n">
        <x:f>G37-F37</x:f>
        <x:v>0.2491407138804841</x:v>
      </x:c>
    </x:row>
    <x:row r="38">
      <x:c r="A38" s="2" t="str">
        <x:v>mdh_independent_test_20260927:0002</x:v>
      </x:c>
      <x:c r="B38" s="2" t="str">
        <x:v>mdh_independent_test_20260927:0015</x:v>
      </x:c>
      <x:c r="C38" s="10" t="n">
        <x:v>2.6814993117463266</x:v>
      </x:c>
      <x:c r="D38" s="10" t="n">
        <x:v>2.560870172623594</x:v>
      </x:c>
      <x:c r="E38" s="10" t="n">
        <x:f>D38-C38</x:f>
        <x:v>-0.12062913912273254</x:v>
      </x:c>
      <x:c r="F38" s="10" t="n">
        <x:v>0.2408701231329433</x:v>
      </x:c>
      <x:c r="G38" s="10" t="n">
        <x:v>0.47670227806280785</x:v>
      </x:c>
      <x:c r="H38" s="10" t="n">
        <x:f>G38-F38</x:f>
        <x:v>0.23583215492986456</x:v>
      </x:c>
    </x:row>
    <x:row r="39">
      <x:c r="A39" s="2" t="str">
        <x:v>mdh_independent_test_20260927:0002</x:v>
      </x:c>
      <x:c r="B39" s="2" t="str">
        <x:v>mdh_independent_test_20260927:0016</x:v>
      </x:c>
      <x:c r="C39" s="10" t="n">
        <x:v>3.289146359035508</x:v>
      </x:c>
      <x:c r="D39" s="10" t="n">
        <x:v>1.7411085380202922</x:v>
      </x:c>
      <x:c r="E39" s="10" t="n">
        <x:f>D39-C39</x:f>
        <x:v>-1.548037821015216</x:v>
      </x:c>
      <x:c r="F39" s="10" t="n">
        <x:v>0.3851192379153202</x:v>
      </x:c>
      <x:c r="G39" s="10" t="n">
        <x:v>0.3140764969279363</x:v>
      </x:c>
      <x:c r="H39" s="10" t="n">
        <x:f>G39-F39</x:f>
        <x:v>-0.07104274098738389</x:v>
      </x:c>
    </x:row>
    <x:row r="40">
      <x:c r="A40" s="2" t="str">
        <x:v>mdh_independent_test_20260927:0002</x:v>
      </x:c>
      <x:c r="B40" s="2" t="str">
        <x:v>mdh_independent_test_20260927:0017</x:v>
      </x:c>
      <x:c r="C40" s="10" t="n">
        <x:v>3.607608118621062</x:v>
      </x:c>
      <x:c r="D40" s="10" t="n">
        <x:v>1.5015127721963082</x:v>
      </x:c>
      <x:c r="E40" s="10" t="n">
        <x:f>D40-C40</x:f>
        <x:v>-2.1060953464247536</x:v>
      </x:c>
      <x:c r="F40" s="10" t="n">
        <x:v>0.44822420603922936</x:v>
      </x:c>
      <x:c r="G40" s="10" t="n">
        <x:v>0.2924684542006411</x:v>
      </x:c>
      <x:c r="H40" s="10" t="n">
        <x:f>G40-F40</x:f>
        <x:v>-0.15575575183858825</x:v>
      </x:c>
    </x:row>
    <x:row r="41">
      <x:c r="A41" s="2" t="str">
        <x:v>mdh_independent_test_20260927:0002</x:v>
      </x:c>
      <x:c r="B41" s="2" t="str">
        <x:v>mdh_independent_test_20260927:0018</x:v>
      </x:c>
      <x:c r="C41" s="10" t="n">
        <x:v>1.8576222659102926</x:v>
      </x:c>
      <x:c r="D41" s="10" t="n">
        <x:v>2.535817929793441</x:v>
      </x:c>
      <x:c r="E41" s="10" t="n">
        <x:f>D41-C41</x:f>
        <x:v>0.6781956638831486</x:v>
      </x:c>
      <x:c r="F41" s="10" t="n">
        <x:v>0.2452943034263539</x:v>
      </x:c>
      <x:c r="G41" s="10" t="n">
        <x:v>0.5045225198429723</x:v>
      </x:c>
      <x:c r="H41" s="10" t="n">
        <x:f>G41-F41</x:f>
        <x:v>0.25922821641661836</x:v>
      </x:c>
    </x:row>
    <x:row r="42">
      <x:c r="A42" s="2" t="str">
        <x:v>mdh_independent_test_20260927:0002</x:v>
      </x:c>
      <x:c r="B42" s="2" t="str">
        <x:v>mdh_independent_test_20260927:0019</x:v>
      </x:c>
      <x:c r="C42" s="10" t="n">
        <x:v>2.877936024561901</x:v>
      </x:c>
      <x:c r="D42" s="10" t="n">
        <x:v>3.1694729594715523</x:v>
      </x:c>
      <x:c r="E42" s="10" t="n">
        <x:f>D42-C42</x:f>
        <x:v>0.29153693490965127</x:v>
      </x:c>
      <x:c r="F42" s="10" t="n">
        <x:v>0.2551995669958972</x:v>
      </x:c>
      <x:c r="G42" s="10" t="n">
        <x:v>0.5998778233767571</x:v>
      </x:c>
      <x:c r="H42" s="10" t="n">
        <x:f>G42-F42</x:f>
        <x:v>0.3446782563808599</x:v>
      </x:c>
    </x:row>
    <x:row r="43">
      <x:c r="A43" s="2" t="str">
        <x:v>mdh_independent_test_20260927:0002</x:v>
      </x:c>
      <x:c r="B43" s="2" t="str">
        <x:v>mdh_independent_test_20260927:0020</x:v>
      </x:c>
      <x:c r="C43" s="10" t="n">
        <x:v>1.9615242758943288</x:v>
      </x:c>
      <x:c r="D43" s="10" t="n">
        <x:v>1.3061435794766745</x:v>
      </x:c>
      <x:c r="E43" s="10" t="n">
        <x:f>D43-C43</x:f>
        <x:v>-0.6553806964176543</x:v>
      </x:c>
      <x:c r="F43" s="10" t="n">
        <x:v>0.19167485525456707</x:v>
      </x:c>
      <x:c r="G43" s="10" t="n">
        <x:v>0.2795141707435016</x:v>
      </x:c>
      <x:c r="H43" s="10" t="n">
        <x:f>G43-F43</x:f>
        <x:v>0.08783931548893453</x:v>
      </x:c>
    </x:row>
    <x:row r="44">
      <x:c r="A44" s="2" t="str">
        <x:v>mdh_independent_test_20260927:0003</x:v>
      </x:c>
      <x:c r="B44" s="2" t="str">
        <x:v>mdh_independent_test_20260927:0004</x:v>
      </x:c>
      <x:c r="C44" s="10" t="n">
        <x:v>1.3712798668407735</x:v>
      </x:c>
      <x:c r="D44" s="10" t="n">
        <x:v>1.4948071405110481</x:v>
      </x:c>
      <x:c r="E44" s="10" t="n">
        <x:f>D44-C44</x:f>
        <x:v>0.1235272736702746</x:v>
      </x:c>
      <x:c r="F44" s="10" t="n">
        <x:v>0.3372533268228541</x:v>
      </x:c>
      <x:c r="G44" s="10" t="n">
        <x:v>0.2810197047265538</x:v>
      </x:c>
      <x:c r="H44" s="10" t="n">
        <x:f>G44-F44</x:f>
        <x:v>-0.056233622096300284</x:v>
      </x:c>
    </x:row>
    <x:row r="45">
      <x:c r="A45" s="2" t="str">
        <x:v>mdh_independent_test_20260927:0003</x:v>
      </x:c>
      <x:c r="B45" s="2" t="str">
        <x:v>mdh_independent_test_20260927:0005</x:v>
      </x:c>
      <x:c r="C45" s="10" t="n">
        <x:v>0.44952622994812486</x:v>
      </x:c>
      <x:c r="D45" s="10" t="n">
        <x:v>0.9718909440907861</x:v>
      </x:c>
      <x:c r="E45" s="10" t="n">
        <x:f>D45-C45</x:f>
        <x:v>0.5223647141426613</x:v>
      </x:c>
      <x:c r="F45" s="10" t="n">
        <x:v>0.23206490017122605</x:v>
      </x:c>
      <x:c r="G45" s="10" t="n">
        <x:v>0.22421969624710195</x:v>
      </x:c>
      <x:c r="H45" s="10" t="n">
        <x:f>G45-F45</x:f>
        <x:v>-0.007845203924124106</x:v>
      </x:c>
    </x:row>
    <x:row r="46">
      <x:c r="A46" s="2" t="str">
        <x:v>mdh_independent_test_20260927:0003</x:v>
      </x:c>
      <x:c r="B46" s="2" t="str">
        <x:v>mdh_independent_test_20260927:0006</x:v>
      </x:c>
      <x:c r="C46" s="10" t="n">
        <x:v>0.8360918637904523</x:v>
      </x:c>
      <x:c r="D46" s="10" t="n">
        <x:v>2.4632181471537318</x:v>
      </x:c>
      <x:c r="E46" s="10" t="n">
        <x:f>D46-C46</x:f>
        <x:v>1.6271262833632796</x:v>
      </x:c>
      <x:c r="F46" s="10" t="n">
        <x:v>0.1100639672897502</x:v>
      </x:c>
      <x:c r="G46" s="10" t="n">
        <x:v>0.4446112650518306</x:v>
      </x:c>
      <x:c r="H46" s="10" t="n">
        <x:f>G46-F46</x:f>
        <x:v>0.33454729776208036</x:v>
      </x:c>
    </x:row>
    <x:row r="47">
      <x:c r="A47" s="2" t="str">
        <x:v>mdh_independent_test_20260927:0003</x:v>
      </x:c>
      <x:c r="B47" s="2" t="str">
        <x:v>mdh_independent_test_20260927:0007</x:v>
      </x:c>
      <x:c r="C47" s="10" t="n">
        <x:v>2.0036604188983556</x:v>
      </x:c>
      <x:c r="D47" s="10" t="n">
        <x:v>1.5461033031962772</x:v>
      </x:c>
      <x:c r="E47" s="10" t="n">
        <x:f>D47-C47</x:f>
        <x:v>-0.45755711570207835</x:v>
      </x:c>
      <x:c r="F47" s="10" t="n">
        <x:v>0.5267038099848141</x:v>
      </x:c>
      <x:c r="G47" s="10" t="n">
        <x:v>0.3200581553389925</x:v>
      </x:c>
      <x:c r="H47" s="10" t="n">
        <x:f>G47-F47</x:f>
        <x:v>-0.20664565464582163</x:v>
      </x:c>
    </x:row>
    <x:row r="48">
      <x:c r="A48" s="2" t="str">
        <x:v>mdh_independent_test_20260927:0003</x:v>
      </x:c>
      <x:c r="B48" s="2" t="str">
        <x:v>mdh_independent_test_20260927:0008</x:v>
      </x:c>
      <x:c r="C48" s="10" t="n">
        <x:v>2.3190085427315097</x:v>
      </x:c>
      <x:c r="D48" s="10" t="n">
        <x:v>2.027209855161308</x:v>
      </x:c>
      <x:c r="E48" s="10" t="n">
        <x:f>D48-C48</x:f>
        <x:v>-0.29179868757020166</x:v>
      </x:c>
      <x:c r="F48" s="10" t="n">
        <x:v>0.4424882511724814</x:v>
      </x:c>
      <x:c r="G48" s="10" t="n">
        <x:v>0.4755474570501002</x:v>
      </x:c>
      <x:c r="H48" s="10" t="n">
        <x:f>G48-F48</x:f>
        <x:v>0.03305920587761879</x:v>
      </x:c>
    </x:row>
    <x:row r="49">
      <x:c r="A49" s="2" t="str">
        <x:v>mdh_independent_test_20260927:0003</x:v>
      </x:c>
      <x:c r="B49" s="2" t="str">
        <x:v>mdh_independent_test_20260927:0009</x:v>
      </x:c>
      <x:c r="C49" s="10" t="n">
        <x:v>1.9275803372757414</x:v>
      </x:c>
      <x:c r="D49" s="10" t="n">
        <x:v>1.6640926126587152</x:v>
      </x:c>
      <x:c r="E49" s="10" t="n">
        <x:f>D49-C49</x:f>
        <x:v>-0.2634877246170262</x:v>
      </x:c>
      <x:c r="F49" s="10" t="n">
        <x:v>0.4115246218503802</x:v>
      </x:c>
      <x:c r="G49" s="10" t="n">
        <x:v>0.38801266146953384</x:v>
      </x:c>
      <x:c r="H49" s="10" t="n">
        <x:f>G49-F49</x:f>
        <x:v>-0.023511960380846353</x:v>
      </x:c>
    </x:row>
    <x:row r="50">
      <x:c r="A50" s="2" t="str">
        <x:v>mdh_independent_test_20260927:0003</x:v>
      </x:c>
      <x:c r="B50" s="2" t="str">
        <x:v>mdh_independent_test_20260927:0010</x:v>
      </x:c>
      <x:c r="C50" s="10" t="n">
        <x:v>1.0187238803099576</x:v>
      </x:c>
      <x:c r="D50" s="10" t="n">
        <x:v>0.6764474344525123</x:v>
      </x:c>
      <x:c r="E50" s="10" t="n">
        <x:f>D50-C50</x:f>
        <x:v>-0.3422764458574453</x:v>
      </x:c>
      <x:c r="F50" s="10" t="n">
        <x:v>0.18839903153028006</x:v>
      </x:c>
      <x:c r="G50" s="10" t="n">
        <x:v>0.10006512819757002</x:v>
      </x:c>
      <x:c r="H50" s="10" t="n">
        <x:f>G50-F50</x:f>
        <x:v>-0.08833390333271005</x:v>
      </x:c>
    </x:row>
    <x:row r="51">
      <x:c r="A51" s="2" t="str">
        <x:v>mdh_independent_test_20260927:0003</x:v>
      </x:c>
      <x:c r="B51" s="2" t="str">
        <x:v>mdh_independent_test_20260927:0011</x:v>
      </x:c>
      <x:c r="C51" s="10" t="n">
        <x:v>0.34496740770453876</x:v>
      </x:c>
      <x:c r="D51" s="10" t="n">
        <x:v>0.340038143318134</x:v>
      </x:c>
      <x:c r="E51" s="10" t="n">
        <x:f>D51-C51</x:f>
        <x:v>-0.004929264386404786</x:v>
      </x:c>
      <x:c r="F51" s="10" t="n">
        <x:v>0.09408668952154749</x:v>
      </x:c>
      <x:c r="G51" s="10" t="n">
        <x:v>0.07166410738521714</x:v>
      </x:c>
      <x:c r="H51" s="10" t="n">
        <x:f>G51-F51</x:f>
        <x:v>-0.022422582136330346</x:v>
      </x:c>
    </x:row>
    <x:row r="52">
      <x:c r="A52" s="2" t="str">
        <x:v>mdh_independent_test_20260927:0003</x:v>
      </x:c>
      <x:c r="B52" s="2" t="str">
        <x:v>mdh_independent_test_20260927:0012</x:v>
      </x:c>
      <x:c r="C52" s="10" t="n">
        <x:v>0.7130318746735067</x:v>
      </x:c>
      <x:c r="D52" s="10" t="n">
        <x:v>0.5496941430843719</x:v>
      </x:c>
      <x:c r="E52" s="10" t="n">
        <x:f>D52-C52</x:f>
        <x:v>-0.16333773158913478</x:v>
      </x:c>
      <x:c r="F52" s="10" t="n">
        <x:v>0.1426550407488739</x:v>
      </x:c>
      <x:c r="G52" s="10" t="n">
        <x:v>0.12286489644539528</x:v>
      </x:c>
      <x:c r="H52" s="10" t="n">
        <x:f>G52-F52</x:f>
        <x:v>-0.019790144303478613</x:v>
      </x:c>
    </x:row>
    <x:row r="53">
      <x:c r="A53" s="2" t="str">
        <x:v>mdh_independent_test_20260927:0003</x:v>
      </x:c>
      <x:c r="B53" s="2" t="str">
        <x:v>mdh_independent_test_20260927:0013</x:v>
      </x:c>
      <x:c r="C53" s="10" t="n">
        <x:v>0.7363641808665328</x:v>
      </x:c>
      <x:c r="D53" s="10" t="n">
        <x:v>1.3101963910583034</x:v>
      </x:c>
      <x:c r="E53" s="10" t="n">
        <x:f>D53-C53</x:f>
        <x:v>0.5738322101917707</x:v>
      </x:c>
      <x:c r="F53" s="10" t="n">
        <x:v>0.10340741544010937</x:v>
      </x:c>
      <x:c r="G53" s="10" t="n">
        <x:v>0.25034277303668684</x:v>
      </x:c>
      <x:c r="H53" s="10" t="n">
        <x:f>G53-F53</x:f>
        <x:v>0.14693535759657747</x:v>
      </x:c>
    </x:row>
    <x:row r="54">
      <x:c r="A54" s="2" t="str">
        <x:v>mdh_independent_test_20260927:0003</x:v>
      </x:c>
      <x:c r="B54" s="2" t="str">
        <x:v>mdh_independent_test_20260927:0014</x:v>
      </x:c>
      <x:c r="C54" s="10" t="n">
        <x:v>1.3352206754769687</x:v>
      </x:c>
      <x:c r="D54" s="10" t="n">
        <x:v>1.867591373474193</x:v>
      </x:c>
      <x:c r="E54" s="10" t="n">
        <x:f>D54-C54</x:f>
        <x:v>0.5323706979972243</x:v>
      </x:c>
      <x:c r="F54" s="10" t="n">
        <x:v>0.3214964211401743</x:v>
      </x:c>
      <x:c r="G54" s="10" t="n">
        <x:v>0.322181145953555</x:v>
      </x:c>
      <x:c r="H54" s="10" t="n">
        <x:f>G54-F54</x:f>
        <x:v>0.0006847248133807216</x:v>
      </x:c>
    </x:row>
    <x:row r="55">
      <x:c r="A55" s="2" t="str">
        <x:v>mdh_independent_test_20260927:0003</x:v>
      </x:c>
      <x:c r="B55" s="2" t="str">
        <x:v>mdh_independent_test_20260927:0015</x:v>
      </x:c>
      <x:c r="C55" s="10" t="n">
        <x:v>1.2867726391377545</x:v>
      </x:c>
      <x:c r="D55" s="10" t="n">
        <x:v>1.6779491311926105</x:v>
      </x:c>
      <x:c r="E55" s="10" t="n">
        <x:f>D55-C55</x:f>
        <x:v>0.39117649205485594</x:v>
      </x:c>
      <x:c r="F55" s="10" t="n">
        <x:v>0.12233651216600812</x:v>
      </x:c>
      <x:c r="G55" s="10" t="n">
        <x:v>0.2873852275722862</x:v>
      </x:c>
      <x:c r="H55" s="10" t="n">
        <x:f>G55-F55</x:f>
        <x:v>0.16504871540627808</x:v>
      </x:c>
    </x:row>
    <x:row r="56">
      <x:c r="A56" s="2" t="str">
        <x:v>mdh_independent_test_20260927:0003</x:v>
      </x:c>
      <x:c r="B56" s="2" t="str">
        <x:v>mdh_independent_test_20260927:0016</x:v>
      </x:c>
      <x:c r="C56" s="10" t="n">
        <x:v>2.182471622740863</x:v>
      </x:c>
      <x:c r="D56" s="10" t="n">
        <x:v>0.9778014371388296</x:v>
      </x:c>
      <x:c r="E56" s="10" t="n">
        <x:f>D56-C56</x:f>
        <x:v>-1.2046701856020334</x:v>
      </x:c>
      <x:c r="F56" s="10" t="n">
        <x:v>0.3284649576490201</x:v>
      </x:c>
      <x:c r="G56" s="10" t="n">
        <x:v>0.12372592408474026</x:v>
      </x:c>
      <x:c r="H56" s="10" t="n">
        <x:f>G56-F56</x:f>
        <x:v>-0.20473903356427986</x:v>
      </x:c>
    </x:row>
    <x:row r="57">
      <x:c r="A57" s="2" t="str">
        <x:v>mdh_independent_test_20260927:0003</x:v>
      </x:c>
      <x:c r="B57" s="2" t="str">
        <x:v>mdh_independent_test_20260927:0017</x:v>
      </x:c>
      <x:c r="C57" s="10" t="n">
        <x:v>2.617888715500975</x:v>
      </x:c>
      <x:c r="D57" s="10" t="n">
        <x:v>0.877604884312839</x:v>
      </x:c>
      <x:c r="E57" s="10" t="n">
        <x:f>D57-C57</x:f>
        <x:v>-1.7402838311881361</x:v>
      </x:c>
      <x:c r="F57" s="10" t="n">
        <x:v>0.4221490119559333</x:v>
      </x:c>
      <x:c r="G57" s="10" t="n">
        <x:v>0.09491197041164168</x:v>
      </x:c>
      <x:c r="H57" s="10" t="n">
        <x:f>G57-F57</x:f>
        <x:v>-0.3272370415442916</x:v>
      </x:c>
    </x:row>
    <x:row r="58">
      <x:c r="A58" s="2" t="str">
        <x:v>mdh_independent_test_20260927:0003</x:v>
      </x:c>
      <x:c r="B58" s="2" t="str">
        <x:v>mdh_independent_test_20260927:0018</x:v>
      </x:c>
      <x:c r="C58" s="10" t="n">
        <x:v>1.1486512672894345</x:v>
      </x:c>
      <x:c r="D58" s="10" t="n">
        <x:v>1.7154505188630915</x:v>
      </x:c>
      <x:c r="E58" s="10" t="n">
        <x:f>D58-C58</x:f>
        <x:v>0.5667992515736571</x:v>
      </x:c>
      <x:c r="F58" s="10" t="n">
        <x:v>0.3591482772026539</x:v>
      </x:c>
      <x:c r="G58" s="10" t="n">
        <x:v>0.31824968779772533</x:v>
      </x:c>
      <x:c r="H58" s="10" t="n">
        <x:f>G58-F58</x:f>
        <x:v>-0.040898589404928576</x:v>
      </x:c>
    </x:row>
    <x:row r="59">
      <x:c r="A59" s="2" t="str">
        <x:v>mdh_independent_test_20260927:0003</x:v>
      </x:c>
      <x:c r="B59" s="2" t="str">
        <x:v>mdh_independent_test_20260927:0019</x:v>
      </x:c>
      <x:c r="C59" s="10" t="n">
        <x:v>1.6183116974904492</x:v>
      </x:c>
      <x:c r="D59" s="10" t="n">
        <x:v>2.181045072421437</x:v>
      </x:c>
      <x:c r="E59" s="10" t="n">
        <x:f>D59-C59</x:f>
        <x:v>0.5627333749309877</x:v>
      </x:c>
      <x:c r="F59" s="10" t="n">
        <x:v>0.17719502107237214</x:v>
      </x:c>
      <x:c r="G59" s="10" t="n">
        <x:v>0.3952715893541698</x:v>
      </x:c>
      <x:c r="H59" s="10" t="n">
        <x:f>G59-F59</x:f>
        <x:v>0.21807656828179764</x:v>
      </x:c>
    </x:row>
    <x:row r="60">
      <x:c r="A60" s="2" t="str">
        <x:v>mdh_independent_test_20260927:0003</x:v>
      </x:c>
      <x:c r="B60" s="2" t="str">
        <x:v>mdh_independent_test_20260927:0020</x:v>
      </x:c>
      <x:c r="C60" s="10" t="n">
        <x:v>0.6334589653848767</x:v>
      </x:c>
      <x:c r="D60" s="10" t="n">
        <x:v>0.5309711923633346</x:v>
      </x:c>
      <x:c r="E60" s="10" t="n">
        <x:f>D60-C60</x:f>
        <x:v>-0.1024877730215421</x:v>
      </x:c>
      <x:c r="F60" s="10" t="n">
        <x:v>0.06961807365326439</x:v>
      </x:c>
      <x:c r="G60" s="10" t="n">
        <x:v>0.07472320169149688</x:v>
      </x:c>
      <x:c r="H60" s="10" t="n">
        <x:f>G60-F60</x:f>
        <x:v>0.005105128038232487</x:v>
      </x:c>
    </x:row>
    <x:row r="61">
      <x:c r="A61" s="2" t="str">
        <x:v>mdh_independent_test_20260927:0004</x:v>
      </x:c>
      <x:c r="B61" s="2" t="str">
        <x:v>mdh_independent_test_20260927:0005</x:v>
      </x:c>
      <x:c r="C61" s="10" t="n">
        <x:v>1.213957721096543</x:v>
      </x:c>
      <x:c r="D61" s="10" t="n">
        <x:v>2.063129310430658</x:v>
      </x:c>
      <x:c r="E61" s="10" t="n">
        <x:f>D61-C61</x:f>
        <x:v>0.849171589334115</x:v>
      </x:c>
      <x:c r="F61" s="10" t="n">
        <x:v>0.3757928177103773</x:v>
      </x:c>
      <x:c r="G61" s="10" t="n">
        <x:v>0.49783830267922097</x:v>
      </x:c>
      <x:c r="H61" s="10" t="n">
        <x:f>G61-F61</x:f>
        <x:v>0.12204548496884365</x:v>
      </x:c>
    </x:row>
    <x:row r="62">
      <x:c r="A62" s="2" t="str">
        <x:v>mdh_independent_test_20260927:0004</x:v>
      </x:c>
      <x:c r="B62" s="2" t="str">
        <x:v>mdh_independent_test_20260927:0006</x:v>
      </x:c>
      <x:c r="C62" s="10" t="n">
        <x:v>1.8775079538957775</x:v>
      </x:c>
      <x:c r="D62" s="10" t="n">
        <x:v>3.5873067698360885</x:v>
      </x:c>
      <x:c r="E62" s="10" t="n">
        <x:f>D62-C62</x:f>
        <x:v>1.709798815940311</x:v>
      </x:c>
      <x:c r="F62" s="10" t="n">
        <x:v>0.3834316962511844</x:v>
      </x:c>
      <x:c r="G62" s="10" t="n">
        <x:v>0.6854124136762025</x:v>
      </x:c>
      <x:c r="H62" s="10" t="n">
        <x:f>G62-F62</x:f>
        <x:v>0.30198071742501814</x:v>
      </x:c>
    </x:row>
    <x:row r="63">
      <x:c r="A63" s="2" t="str">
        <x:v>mdh_independent_test_20260927:0004</x:v>
      </x:c>
      <x:c r="B63" s="2" t="str">
        <x:v>mdh_independent_test_20260927:0007</x:v>
      </x:c>
      <x:c r="C63" s="10" t="n">
        <x:v>2.2430023563707104</x:v>
      </x:c>
      <x:c r="D63" s="10" t="n">
        <x:v>2.8762788429484574</x:v>
      </x:c>
      <x:c r="E63" s="10" t="n">
        <x:f>D63-C63</x:f>
        <x:v>0.6332764865777469</x:v>
      </x:c>
      <x:c r="F63" s="10" t="n">
        <x:v>0.5920365871864203</x:v>
      </x:c>
      <x:c r="G63" s="10" t="n">
        <x:v>0.5853378607326635</x:v>
      </x:c>
      <x:c r="H63" s="10" t="n">
        <x:f>G63-F63</x:f>
        <x:v>-0.006698726453756798</x:v>
      </x:c>
    </x:row>
    <x:row r="64">
      <x:c r="A64" s="2" t="str">
        <x:v>mdh_independent_test_20260927:0004</x:v>
      </x:c>
      <x:c r="B64" s="2" t="str">
        <x:v>mdh_independent_test_20260927:0008</x:v>
      </x:c>
      <x:c r="C64" s="10" t="n">
        <x:v>3.548182415422439</x:v>
      </x:c>
      <x:c r="D64" s="10" t="n">
        <x:v>3.290152816682062</x:v>
      </x:c>
      <x:c r="E64" s="10" t="n">
        <x:f>D64-C64</x:f>
        <x:v>-0.2580295987403769</x:v>
      </x:c>
      <x:c r="F64" s="10" t="n">
        <x:v>0.6751048238235091</x:v>
      </x:c>
      <x:c r="G64" s="10" t="n">
        <x:v>0.7361578300682893</x:v>
      </x:c>
      <x:c r="H64" s="10" t="n">
        <x:f>G64-F64</x:f>
        <x:v>0.06105300624478016</x:v>
      </x:c>
    </x:row>
    <x:row r="65">
      <x:c r="A65" s="2" t="str">
        <x:v>mdh_independent_test_20260927:0004</x:v>
      </x:c>
      <x:c r="B65" s="2" t="str">
        <x:v>mdh_independent_test_20260927:0009</x:v>
      </x:c>
      <x:c r="C65" s="10" t="n">
        <x:v>3.0775936346234394</x:v>
      </x:c>
      <x:c r="D65" s="10" t="n">
        <x:v>2.8608897245130422</x:v>
      </x:c>
      <x:c r="E65" s="10" t="n">
        <x:f>D65-C65</x:f>
        <x:v>-0.21670391011039714</x:v>
      </x:c>
      <x:c r="F65" s="10" t="n">
        <x:v>0.6124047193044314</x:v>
      </x:c>
      <x:c r="G65" s="10" t="n">
        <x:v>0.6276758328994658</x:v>
      </x:c>
      <x:c r="H65" s="10" t="n">
        <x:f>G65-F65</x:f>
        <x:v>0.015271113595034413</x:v>
      </x:c>
    </x:row>
    <x:row r="66">
      <x:c r="A66" s="2" t="str">
        <x:v>mdh_independent_test_20260927:0004</x:v>
      </x:c>
      <x:c r="B66" s="2" t="str">
        <x:v>mdh_independent_test_20260927:0010</x:v>
      </x:c>
      <x:c r="C66" s="10" t="n">
        <x:v>1.3915236593217992</x:v>
      </x:c>
      <x:c r="D66" s="10" t="n">
        <x:v>1.6964511585928834</x:v>
      </x:c>
      <x:c r="E66" s="10" t="n">
        <x:f>D66-C66</x:f>
        <x:v>0.3049274992710842</x:v>
      </x:c>
      <x:c r="F66" s="10" t="n">
        <x:v>0.2838151703784358</x:v>
      </x:c>
      <x:c r="G66" s="10" t="n">
        <x:v>0.33235107552727916</x:v>
      </x:c>
      <x:c r="H66" s="10" t="n">
        <x:f>G66-F66</x:f>
        <x:v>0.04853590514884337</x:v>
      </x:c>
    </x:row>
    <x:row r="67">
      <x:c r="A67" s="2" t="str">
        <x:v>mdh_independent_test_20260927:0004</x:v>
      </x:c>
      <x:c r="B67" s="2" t="str">
        <x:v>mdh_independent_test_20260927:0011</x:v>
      </x:c>
      <x:c r="C67" s="10" t="n">
        <x:v>1.353425341622053</x:v>
      </x:c>
      <x:c r="D67" s="10" t="n">
        <x:v>1.7567027281583023</x:v>
      </x:c>
      <x:c r="E67" s="10" t="n">
        <x:f>D67-C67</x:f>
        <x:v>0.40327738653624934</x:v>
      </x:c>
      <x:c r="F67" s="10" t="n">
        <x:v>0.33653297319815084</x:v>
      </x:c>
      <x:c r="G67" s="10" t="n">
        <x:v>0.34740096971891316</x:v>
      </x:c>
      <x:c r="H67" s="10" t="n">
        <x:f>G67-F67</x:f>
        <x:v>0.010867996520762313</x:v>
      </x:c>
    </x:row>
    <x:row r="68">
      <x:c r="A68" s="2" t="str">
        <x:v>mdh_independent_test_20260927:0004</x:v>
      </x:c>
      <x:c r="B68" s="2" t="str">
        <x:v>mdh_independent_test_20260927:0012</x:v>
      </x:c>
      <x:c r="C68" s="10" t="n">
        <x:v>1.7476073767936464</x:v>
      </x:c>
      <x:c r="D68" s="10" t="n">
        <x:v>1.2996286839111477</x:v>
      </x:c>
      <x:c r="E68" s="10" t="n">
        <x:f>D68-C68</x:f>
        <x:v>-0.4479786928824987</x:v>
      </x:c>
      <x:c r="F68" s="10" t="n">
        <x:v>0.402320336343249</x:v>
      </x:c>
      <x:c r="G68" s="10" t="n">
        <x:v>0.23564325271371794</x:v>
      </x:c>
      <x:c r="H68" s="10" t="n">
        <x:f>G68-F68</x:f>
        <x:v>-0.16667708362953104</x:v>
      </x:c>
    </x:row>
    <x:row r="69">
      <x:c r="A69" s="2" t="str">
        <x:v>mdh_independent_test_20260927:0004</x:v>
      </x:c>
      <x:c r="B69" s="2" t="str">
        <x:v>mdh_independent_test_20260927:0013</x:v>
      </x:c>
      <x:c r="C69" s="10" t="n">
        <x:v>0.5962255021381979</x:v>
      </x:c>
      <x:c r="D69" s="10" t="n">
        <x:v>0.15457834436984713</x:v>
      </x:c>
      <x:c r="E69" s="10" t="n">
        <x:f>D69-C69</x:f>
        <x:v>-0.4416471577683508</x:v>
      </x:c>
      <x:c r="F69" s="10" t="n">
        <x:v>0.25980901882795815</x:v>
      </x:c>
      <x:c r="G69" s="10" t="n">
        <x:v>0.032449644355934275</x:v>
      </x:c>
      <x:c r="H69" s="10" t="n">
        <x:f>G69-F69</x:f>
        <x:v>-0.22735937447202387</x:v>
      </x:c>
    </x:row>
    <x:row r="70">
      <x:c r="A70" s="2" t="str">
        <x:v>mdh_independent_test_20260927:0004</x:v>
      </x:c>
      <x:c r="B70" s="2" t="str">
        <x:v>mdh_independent_test_20260927:0014</x:v>
      </x:c>
      <x:c r="C70" s="10" t="n">
        <x:v>2.129202946699672</x:v>
      </x:c>
      <x:c r="D70" s="10" t="n">
        <x:v>3.2231891001089026</x:v>
      </x:c>
      <x:c r="E70" s="10" t="n">
        <x:f>D70-C70</x:f>
        <x:v>1.0939861534092308</x:v>
      </x:c>
      <x:c r="F70" s="10" t="n">
        <x:v>0.5968360735054227</x:v>
      </x:c>
      <x:c r="G70" s="10" t="n">
        <x:v>0.5962875710885948</x:v>
      </x:c>
      <x:c r="H70" s="10" t="n">
        <x:f>G70-F70</x:f>
        <x:v>-0.0005485024168279118</x:v>
      </x:c>
    </x:row>
    <x:row r="71">
      <x:c r="A71" s="2" t="str">
        <x:v>mdh_independent_test_20260927:0004</x:v>
      </x:c>
      <x:c r="B71" s="2" t="str">
        <x:v>mdh_independent_test_20260927:0015</x:v>
      </x:c>
      <x:c r="C71" s="10" t="n">
        <x:v>1.604560729603931</x:v>
      </x:c>
      <x:c r="D71" s="10" t="n">
        <x:v>2.3294351469597814</x:v>
      </x:c>
      <x:c r="E71" s="10" t="n">
        <x:f>D71-C71</x:f>
        <x:v>0.7248744173558503</x:v>
      </x:c>
      <x:c r="F71" s="10" t="n">
        <x:v>0.42518687635394803</x:v>
      </x:c>
      <x:c r="G71" s="10" t="n">
        <x:v>0.48269969453457917</x:v>
      </x:c>
      <x:c r="H71" s="10" t="n">
        <x:f>G71-F71</x:f>
        <x:v>0.05751281818063114</x:v>
      </x:c>
    </x:row>
    <x:row r="72">
      <x:c r="A72" s="2" t="str">
        <x:v>mdh_independent_test_20260927:0004</x:v>
      </x:c>
      <x:c r="B72" s="2" t="str">
        <x:v>mdh_independent_test_20260927:0016</x:v>
      </x:c>
      <x:c r="C72" s="10" t="n">
        <x:v>1.3790009074911262</x:v>
      </x:c>
      <x:c r="D72" s="10" t="n">
        <x:v>1.1983262826929038</x:v>
      </x:c>
      <x:c r="E72" s="10" t="n">
        <x:f>D72-C72</x:f>
        <x:v>-0.1806746247982225</x:v>
      </x:c>
      <x:c r="F72" s="10" t="n">
        <x:v>0.11897681137897088</x:v>
      </x:c>
      <x:c r="G72" s="10" t="n">
        <x:v>0.254420672252287</x:v>
      </x:c>
      <x:c r="H72" s="10" t="n">
        <x:f>G72-F72</x:f>
        <x:v>0.1354438608733161</x:v>
      </x:c>
    </x:row>
    <x:row r="73">
      <x:c r="A73" s="2" t="str">
        <x:v>mdh_independent_test_20260927:0004</x:v>
      </x:c>
      <x:c r="B73" s="2" t="str">
        <x:v>mdh_independent_test_20260927:0017</x:v>
      </x:c>
      <x:c r="C73" s="10" t="n">
        <x:v>1.8777142015456503</x:v>
      </x:c>
      <x:c r="D73" s="10" t="n">
        <x:v>1.172116427739982</x:v>
      </x:c>
      <x:c r="E73" s="10" t="n">
        <x:f>D73-C73</x:f>
        <x:v>-0.7055977738056682</x:v>
      </x:c>
      <x:c r="F73" s="10" t="n">
        <x:v>0.23414217342067653</x:v>
      </x:c>
      <x:c r="G73" s="10" t="n">
        <x:v>0.25583432545338736</x:v>
      </x:c>
      <x:c r="H73" s="10" t="n">
        <x:f>G73-F73</x:f>
        <x:v>0.021692152032710826</x:v>
      </x:c>
    </x:row>
    <x:row r="74">
      <x:c r="A74" s="2" t="str">
        <x:v>mdh_independent_test_20260927:0004</x:v>
      </x:c>
      <x:c r="B74" s="2" t="str">
        <x:v>mdh_independent_test_20260927:0018</x:v>
      </x:c>
      <x:c r="C74" s="10" t="n">
        <x:v>0.7654100120347104</x:v>
      </x:c>
      <x:c r="D74" s="10" t="n">
        <x:v>2.8828469185080174</x:v>
      </x:c>
      <x:c r="E74" s="10" t="n">
        <x:f>D74-C74</x:f>
        <x:v>2.117436906473307</x:v>
      </x:c>
      <x:c r="F74" s="10" t="n">
        <x:v>0.4479651479287978</x:v>
      </x:c>
      <x:c r="G74" s="10" t="n">
        <x:v>0.5832601120436984</x:v>
      </x:c>
      <x:c r="H74" s="10" t="n">
        <x:f>G74-F74</x:f>
        <x:v>0.1352949641149006</x:v>
      </x:c>
    </x:row>
    <x:row r="75">
      <x:c r="A75" s="2" t="str">
        <x:v>mdh_independent_test_20260927:0004</x:v>
      </x:c>
      <x:c r="B75" s="2" t="str">
        <x:v>mdh_independent_test_20260927:0019</x:v>
      </x:c>
      <x:c r="C75" s="10" t="n">
        <x:v>1.2176537697727683</x:v>
      </x:c>
      <x:c r="D75" s="10" t="n">
        <x:v>2.8159875617799344</x:v>
      </x:c>
      <x:c r="E75" s="10" t="n">
        <x:f>D75-C75</x:f>
        <x:v>1.598333792007166</x:v>
      </x:c>
      <x:c r="F75" s="10" t="n">
        <x:v>0.17759725663795192</x:v>
      </x:c>
      <x:c r="G75" s="10" t="n">
        <x:v>0.5485962167559547</x:v>
      </x:c>
      <x:c r="H75" s="10" t="n">
        <x:f>G75-F75</x:f>
        <x:v>0.3709989601180028</x:v>
      </x:c>
    </x:row>
    <x:row r="76">
      <x:c r="A76" s="2" t="str">
        <x:v>mdh_independent_test_20260927:0004</x:v>
      </x:c>
      <x:c r="B76" s="2" t="str">
        <x:v>mdh_independent_test_20260927:0020</x:v>
      </x:c>
      <x:c r="C76" s="10" t="n">
        <x:v>1.117354256688771</x:v>
      </x:c>
      <x:c r="D76" s="10" t="n">
        <x:v>1.5899932164163395</x:v>
      </x:c>
      <x:c r="E76" s="10" t="n">
        <x:f>D76-C76</x:f>
        <x:v>0.4726389597275684</x:v>
      </x:c>
      <x:c r="F76" s="10" t="n">
        <x:v>0.3050342668398729</x:v>
      </x:c>
      <x:c r="G76" s="10" t="n">
        <x:v>0.3408465933221646</x:v>
      </x:c>
      <x:c r="H76" s="10" t="n">
        <x:f>G76-F76</x:f>
        <x:v>0.03581232648229171</x:v>
      </x:c>
    </x:row>
    <x:row r="77">
      <x:c r="A77" s="2" t="str">
        <x:v>mdh_independent_test_20260927:0005</x:v>
      </x:c>
      <x:c r="B77" s="2" t="str">
        <x:v>mdh_independent_test_20260927:0006</x:v>
      </x:c>
      <x:c r="C77" s="10" t="n">
        <x:v>1.1212578490517966</x:v>
      </x:c>
      <x:c r="D77" s="10" t="n">
        <x:v>1.9794430419666074</x:v>
      </x:c>
      <x:c r="E77" s="10" t="n">
        <x:f>D77-C77</x:f>
        <x:v>0.8581851929148108</x:v>
      </x:c>
      <x:c r="F77" s="10" t="n">
        <x:v>0.1772511322704095</x:v>
      </x:c>
      <x:c r="G77" s="10" t="n">
        <x:v>0.37137893225452606</x:v>
      </x:c>
      <x:c r="H77" s="10" t="n">
        <x:f>G77-F77</x:f>
        <x:v>0.19412779998411656</x:v>
      </x:c>
    </x:row>
    <x:row r="78">
      <x:c r="A78" s="2" t="str">
        <x:v>mdh_independent_test_20260927:0005</x:v>
      </x:c>
      <x:c r="B78" s="2" t="str">
        <x:v>mdh_independent_test_20260927:0007</x:v>
      </x:c>
      <x:c r="C78" s="10" t="n">
        <x:v>1.9140781519233634</x:v>
      </x:c>
      <x:c r="D78" s="10" t="n">
        <x:v>0.6944009346129522</x:v>
      </x:c>
      <x:c r="E78" s="10" t="n">
        <x:f>D78-C78</x:f>
        <x:v>-1.2196772173104113</x:v>
      </x:c>
      <x:c r="F78" s="10" t="n">
        <x:v>0.29956246205381437</x:v>
      </x:c>
      <x:c r="G78" s="10" t="n">
        <x:v>0.10362399730864405</x:v>
      </x:c>
      <x:c r="H78" s="10" t="n">
        <x:f>G78-F78</x:f>
        <x:v>-0.19593846474517032</x:v>
      </x:c>
    </x:row>
    <x:row r="79">
      <x:c r="A79" s="2" t="str">
        <x:v>mdh_independent_test_20260927:0005</x:v>
      </x:c>
      <x:c r="B79" s="2" t="str">
        <x:v>mdh_independent_test_20260927:0008</x:v>
      </x:c>
      <x:c r="C79" s="10" t="n">
        <x:v>2.0784686231674394</x:v>
      </x:c>
      <x:c r="D79" s="10" t="n">
        <x:v>0.9582633786766954</x:v>
      </x:c>
      <x:c r="E79" s="10" t="n">
        <x:f>D79-C79</x:f>
        <x:v>-1.120205244490744</x:v>
      </x:c>
      <x:c r="F79" s="10" t="n">
        <x:v>0.3328720807149048</x:v>
      </x:c>
      <x:c r="G79" s="10" t="n">
        <x:v>0.27546802691775335</x:v>
      </x:c>
      <x:c r="H79" s="10" t="n">
        <x:f>G79-F79</x:f>
        <x:v>-0.057404053797151466</x:v>
      </x:c>
    </x:row>
    <x:row r="80">
      <x:c r="A80" s="2" t="str">
        <x:v>mdh_independent_test_20260927:0005</x:v>
      </x:c>
      <x:c r="B80" s="2" t="str">
        <x:v>mdh_independent_test_20260927:0009</x:v>
      </x:c>
      <x:c r="C80" s="10" t="n">
        <x:v>1.720996361399547</x:v>
      </x:c>
      <x:c r="D80" s="10" t="n">
        <x:v>1.013441543218031</x:v>
      </x:c>
      <x:c r="E80" s="10" t="n">
        <x:f>D80-C80</x:f>
        <x:v>-0.7075548181815159</x:v>
      </x:c>
      <x:c r="F80" s="10" t="n">
        <x:v>0.2716716362875063</x:v>
      </x:c>
      <x:c r="G80" s="10" t="n">
        <x:v>0.22499579849449133</x:v>
      </x:c>
      <x:c r="H80" s="10" t="n">
        <x:f>G80-F80</x:f>
        <x:v>-0.04667583779301496</x:v>
      </x:c>
    </x:row>
    <x:row r="81">
      <x:c r="A81" s="2" t="str">
        <x:v>mdh_independent_test_20260927:0005</x:v>
      </x:c>
      <x:c r="B81" s="2" t="str">
        <x:v>mdh_independent_test_20260927:0010</x:v>
      </x:c>
      <x:c r="C81" s="10" t="n">
        <x:v>0.9484854171271502</x:v>
      </x:c>
      <x:c r="D81" s="10" t="n">
        <x:v>1.3342322904893664</x:v>
      </x:c>
      <x:c r="E81" s="10" t="n">
        <x:f>D81-C81</x:f>
        <x:v>0.38574687336221625</x:v>
      </x:c>
      <x:c r="F81" s="10" t="n">
        <x:v>0.28533666404621155</x:v>
      </x:c>
      <x:c r="G81" s="10" t="n">
        <x:v>0.23475470363118736</x:v>
      </x:c>
      <x:c r="H81" s="10" t="n">
        <x:f>G81-F81</x:f>
        <x:v>-0.05058196041502419</x:v>
      </x:c>
    </x:row>
    <x:row r="82">
      <x:c r="A82" s="2" t="str">
        <x:v>mdh_independent_test_20260927:0005</x:v>
      </x:c>
      <x:c r="B82" s="2" t="str">
        <x:v>mdh_independent_test_20260927:0011</x:v>
      </x:c>
      <x:c r="C82" s="10" t="n">
        <x:v>0.22920062721114656</x:v>
      </x:c>
      <x:c r="D82" s="10" t="n">
        <x:v>0.9458443512392726</x:v>
      </x:c>
      <x:c r="E82" s="10" t="n">
        <x:f>D82-C82</x:f>
        <x:v>0.716643724028126</x:v>
      </x:c>
      <x:c r="F82" s="10" t="n">
        <x:v>0.20826241649122884</x:v>
      </x:c>
      <x:c r="G82" s="10" t="n">
        <x:v>0.1653310745693676</x:v>
      </x:c>
      <x:c r="H82" s="10" t="n">
        <x:f>G82-F82</x:f>
        <x:v>-0.04293134192186124</x:v>
      </x:c>
    </x:row>
    <x:row r="83">
      <x:c r="A83" s="2" t="str">
        <x:v>mdh_independent_test_20260927:0005</x:v>
      </x:c>
      <x:c r="B83" s="2" t="str">
        <x:v>mdh_independent_test_20260927:0012</x:v>
      </x:c>
      <x:c r="C83" s="10" t="n">
        <x:v>0.538528618801746</x:v>
      </x:c>
      <x:c r="D83" s="10" t="n">
        <x:v>1.5369922473030153</x:v>
      </x:c>
      <x:c r="E83" s="10" t="n">
        <x:f>D83-C83</x:f>
        <x:v>0.9984636285012694</x:v>
      </x:c>
      <x:c r="F83" s="10" t="n">
        <x:v>0.23075955907736498</x:v>
      </x:c>
      <x:c r="G83" s="10" t="n">
        <x:v>0.2818604562559056</x:v>
      </x:c>
      <x:c r="H83" s="10" t="n">
        <x:f>G83-F83</x:f>
        <x:v>0.05110089717854063</x:v>
      </x:c>
    </x:row>
    <x:row r="84">
      <x:c r="A84" s="2" t="str">
        <x:v>mdh_independent_test_20260927:0005</x:v>
      </x:c>
      <x:c r="B84" s="2" t="str">
        <x:v>mdh_independent_test_20260927:0013</x:v>
      </x:c>
      <x:c r="C84" s="10" t="n">
        <x:v>0.6989131448695014</x:v>
      </x:c>
      <x:c r="D84" s="10" t="n">
        <x:v>2.429389318598965</x:v>
      </x:c>
      <x:c r="E84" s="10" t="n">
        <x:f>D84-C84</x:f>
        <x:v>1.7304761737294636</x:v>
      </x:c>
      <x:c r="F84" s="10" t="n">
        <x:v>0.2822762615013891</x:v>
      </x:c>
      <x:c r="G84" s="10" t="n">
        <x:v>0.4666049635795504</x:v>
      </x:c>
      <x:c r="H84" s="10" t="n">
        <x:f>G84-F84</x:f>
        <x:v>0.18432870207816127</x:v>
      </x:c>
    </x:row>
    <x:row r="85">
      <x:c r="A85" s="2" t="str">
        <x:v>mdh_independent_test_20260927:0005</x:v>
      </x:c>
      <x:c r="B85" s="2" t="str">
        <x:v>mdh_independent_test_20260927:0014</x:v>
      </x:c>
      <x:c r="C85" s="10" t="n">
        <x:v>1.1746663843073828</x:v>
      </x:c>
      <x:c r="D85" s="10" t="n">
        <x:v>0.871677123936117</x:v>
      </x:c>
      <x:c r="E85" s="10" t="n">
        <x:f>D85-C85</x:f>
        <x:v>-0.30298926037126583</x:v>
      </x:c>
      <x:c r="F85" s="10" t="n">
        <x:v>0.2787985736438996</x:v>
      </x:c>
      <x:c r="G85" s="10" t="n">
        <x:v>0.15619273716646614</x:v>
      </x:c>
      <x:c r="H85" s="10" t="n">
        <x:f>G85-F85</x:f>
        <x:v>-0.12260583647743345</x:v>
      </x:c>
    </x:row>
    <x:row r="86">
      <x:c r="A86" s="2" t="str">
        <x:v>mdh_independent_test_20260927:0005</x:v>
      </x:c>
      <x:c r="B86" s="2" t="str">
        <x:v>mdh_independent_test_20260927:0015</x:v>
      </x:c>
      <x:c r="C86" s="10" t="n">
        <x:v>1.3833645261528278</x:v>
      </x:c>
      <x:c r="D86" s="10" t="n">
        <x:v>1.8587367696202133</x:v>
      </x:c>
      <x:c r="E86" s="10" t="n">
        <x:f>D86-C86</x:f>
        <x:v>0.4753722434673855</x:v>
      </x:c>
      <x:c r="F86" s="10" t="n">
        <x:v>0.34389445414796865</x:v>
      </x:c>
      <x:c r="G86" s="10" t="n">
        <x:v>0.3437737776218394</x:v>
      </x:c>
      <x:c r="H86" s="10" t="n">
        <x:f>G86-F86</x:f>
        <x:v>-0.00012067652612923752</x:v>
      </x:c>
    </x:row>
    <x:row r="87">
      <x:c r="A87" s="2" t="str">
        <x:v>mdh_independent_test_20260927:0005</x:v>
      </x:c>
      <x:c r="B87" s="2" t="str">
        <x:v>mdh_independent_test_20260927:0016</x:v>
      </x:c>
      <x:c r="C87" s="10" t="n">
        <x:v>2.1243989104586167</x:v>
      </x:c>
      <x:c r="D87" s="10" t="n">
        <x:v>1.9250437076689664</x:v>
      </x:c>
      <x:c r="E87" s="10" t="n">
        <x:f>D87-C87</x:f>
        <x:v>-0.19935520278965035</x:v>
      </x:c>
      <x:c r="F87" s="10" t="n">
        <x:v>0.29447546053774193</x:v>
      </x:c>
      <x:c r="G87" s="10" t="n">
        <x:v>0.32119323631115054</x:v>
      </x:c>
      <x:c r="H87" s="10" t="n">
        <x:f>G87-F87</x:f>
        <x:v>0.026717775773408614</x:v>
      </x:c>
    </x:row>
    <x:row r="88">
      <x:c r="A88" s="2" t="str">
        <x:v>mdh_independent_test_20260927:0005</x:v>
      </x:c>
      <x:c r="B88" s="2" t="str">
        <x:v>mdh_independent_test_20260927:0017</x:v>
      </x:c>
      <x:c r="C88" s="10" t="n">
        <x:v>2.422485081470274</x:v>
      </x:c>
      <x:c r="D88" s="10" t="n">
        <x:v>1.7335896080252158</x:v>
      </x:c>
      <x:c r="E88" s="10" t="n">
        <x:f>D88-C88</x:f>
        <x:v>-0.6888954734450583</x:v>
      </x:c>
      <x:c r="F88" s="10" t="n">
        <x:v>0.32577090310097995</x:v>
      </x:c>
      <x:c r="G88" s="10" t="n">
        <x:v>0.29394008429200785</x:v>
      </x:c>
      <x:c r="H88" s="10" t="n">
        <x:f>G88-F88</x:f>
        <x:v>-0.031830818808972094</x:v>
      </x:c>
    </x:row>
    <x:row r="89">
      <x:c r="A89" s="2" t="str">
        <x:v>mdh_independent_test_20260927:0005</x:v>
      </x:c>
      <x:c r="B89" s="2" t="str">
        <x:v>mdh_independent_test_20260927:0018</x:v>
      </x:c>
      <x:c r="C89" s="10" t="n">
        <x:v>0.9080249528402387</x:v>
      </x:c>
      <x:c r="D89" s="10" t="n">
        <x:v>1.3527841740538549</x:v>
      </x:c>
      <x:c r="E89" s="10" t="n">
        <x:f>D89-C89</x:f>
        <x:v>0.4447592212136162</x:v>
      </x:c>
      <x:c r="F89" s="10" t="n">
        <x:v>0.13861767102010403</x:v>
      </x:c>
      <x:c r="G89" s="10" t="n">
        <x:v>0.22622297908547906</x:v>
      </x:c>
      <x:c r="H89" s="10" t="n">
        <x:f>G89-F89</x:f>
        <x:v>0.08760530806537503</x:v>
      </x:c>
    </x:row>
    <x:row r="90">
      <x:c r="A90" s="2" t="str">
        <x:v>mdh_independent_test_20260927:0005</x:v>
      </x:c>
      <x:c r="B90" s="2" t="str">
        <x:v>mdh_independent_test_20260927:0019</x:v>
      </x:c>
      <x:c r="C90" s="10" t="n">
        <x:v>1.6682337208439908</x:v>
      </x:c>
      <x:c r="D90" s="10" t="n">
        <x:v>2.351125131543117</x:v>
      </x:c>
      <x:c r="E90" s="10" t="n">
        <x:f>D90-C90</x:f>
        <x:v>0.6828914106991262</x:v>
      </x:c>
      <x:c r="F90" s="10" t="n">
        <x:v>0.2197836670562509</x:v>
      </x:c>
      <x:c r="G90" s="10" t="n">
        <x:v>0.46171121457723574</x:v>
      </x:c>
      <x:c r="H90" s="10" t="n">
        <x:f>G90-F90</x:f>
        <x:v>0.24192754752098483</x:v>
      </x:c>
    </x:row>
    <x:row r="91">
      <x:c r="A91" s="2" t="str">
        <x:v>mdh_independent_test_20260927:0005</x:v>
      </x:c>
      <x:c r="B91" s="2" t="str">
        <x:v>mdh_independent_test_20260927:0020</x:v>
      </x:c>
      <x:c r="C91" s="10" t="n">
        <x:v>0.5788889287067616</x:v>
      </x:c>
      <x:c r="D91" s="10" t="n">
        <x:v>1.0018814918541363</x:v>
      </x:c>
      <x:c r="E91" s="10" t="n">
        <x:f>D91-C91</x:f>
        <x:v>0.42299256314737477</x:v>
      </x:c>
      <x:c r="F91" s="10" t="n">
        <x:v>0.21807709125642896</x:v>
      </x:c>
      <x:c r="G91" s="10" t="n">
        <x:v>0.19887647614324475</x:v>
      </x:c>
      <x:c r="H91" s="10" t="n">
        <x:f>G91-F91</x:f>
        <x:v>-0.019200615113184216</x:v>
      </x:c>
    </x:row>
    <x:row r="92">
      <x:c r="A92" s="2" t="str">
        <x:v>mdh_independent_test_20260927:0006</x:v>
      </x:c>
      <x:c r="B92" s="2" t="str">
        <x:v>mdh_independent_test_20260927:0007</x:v>
      </x:c>
      <x:c r="C92" s="10" t="n">
        <x:v>2.414196378624315</x:v>
      </x:c>
      <x:c r="D92" s="10" t="n">
        <x:v>2.4140402078106846</x:v>
      </x:c>
      <x:c r="E92" s="10" t="n">
        <x:f>D92-C92</x:f>
        <x:v>-0.0001561708136303963</x:v>
      </x:c>
      <x:c r="F92" s="10" t="n">
        <x:v>0.44635668870554673</x:v>
      </x:c>
      <x:c r="G92" s="10" t="n">
        <x:v>0.421366685009213</x:v>
      </x:c>
      <x:c r="H92" s="10" t="n">
        <x:f>G92-F92</x:f>
        <x:v>-0.02499000369633375</x:v>
      </x:c>
    </x:row>
    <x:row r="93">
      <x:c r="A93" s="2" t="str">
        <x:v>mdh_independent_test_20260927:0006</x:v>
      </x:c>
      <x:c r="B93" s="2" t="str">
        <x:v>mdh_independent_test_20260927:0008</x:v>
      </x:c>
      <x:c r="C93" s="10" t="n">
        <x:v>2.2708544901597234</x:v>
      </x:c>
      <x:c r="D93" s="10" t="n">
        <x:v>2.5518199780550677</x:v>
      </x:c>
      <x:c r="E93" s="10" t="n">
        <x:f>D93-C93</x:f>
        <x:v>0.28096548789534426</x:v>
      </x:c>
      <x:c r="F93" s="10" t="n">
        <x:v>0.3386348859126427</x:v>
      </x:c>
      <x:c r="G93" s="10" t="n">
        <x:v>0.505867982297688</x:v>
      </x:c>
      <x:c r="H93" s="10" t="n">
        <x:f>G93-F93</x:f>
        <x:v>0.16723309638504535</x:v>
      </x:c>
    </x:row>
    <x:row r="94">
      <x:c r="A94" s="2" t="str">
        <x:v>mdh_independent_test_20260927:0006</x:v>
      </x:c>
      <x:c r="B94" s="2" t="str">
        <x:v>mdh_independent_test_20260927:0009</x:v>
      </x:c>
      <x:c r="C94" s="10" t="n">
        <x:v>2.167243861284591</x:v>
      </x:c>
      <x:c r="D94" s="10" t="n">
        <x:v>2.80123801082261</x:v>
      </x:c>
      <x:c r="E94" s="10" t="n">
        <x:f>D94-C94</x:f>
        <x:v>0.6339941495380192</x:v>
      </x:c>
      <x:c r="F94" s="10" t="n">
        <x:v>0.3057791673344165</x:v>
      </x:c>
      <x:c r="G94" s="10" t="n">
        <x:v>0.5368608740434232</x:v>
      </x:c>
      <x:c r="H94" s="10" t="n">
        <x:f>G94-F94</x:f>
        <x:v>0.23108170670900668</x:v>
      </x:c>
    </x:row>
    <x:row r="95">
      <x:c r="A95" s="2" t="str">
        <x:v>mdh_independent_test_20260927:0006</x:v>
      </x:c>
      <x:c r="B95" s="2" t="str">
        <x:v>mdh_independent_test_20260927:0010</x:v>
      </x:c>
      <x:c r="C95" s="10" t="n">
        <x:v>1.565936323953447</x:v>
      </x:c>
      <x:c r="D95" s="10" t="n">
        <x:v>1.9367792481995811</x:v>
      </x:c>
      <x:c r="E95" s="10" t="n">
        <x:f>D95-C95</x:f>
        <x:v>0.3708429242461342</x:v>
      </x:c>
      <x:c r="F95" s="10" t="n">
        <x:v>0.27473858012620084</x:v>
      </x:c>
      <x:c r="G95" s="10" t="n">
        <x:v>0.35965770053939294</x:v>
      </x:c>
      <x:c r="H95" s="10" t="n">
        <x:f>G95-F95</x:f>
        <x:v>0.0849191204131921</x:v>
      </x:c>
    </x:row>
    <x:row r="96">
      <x:c r="A96" s="2" t="str">
        <x:v>mdh_independent_test_20260927:0006</x:v>
      </x:c>
      <x:c r="B96" s="2" t="str">
        <x:v>mdh_independent_test_20260927:0011</x:v>
      </x:c>
      <x:c r="C96" s="10" t="n">
        <x:v>1.0907652622634445</x:v>
      </x:c>
      <x:c r="D96" s="10" t="n">
        <x:v>2.113380640793099</x:v>
      </x:c>
      <x:c r="E96" s="10" t="n">
        <x:f>D96-C96</x:f>
        <x:v>1.0226153785296543</x:v>
      </x:c>
      <x:c r="F96" s="10" t="n">
        <x:v>0.16361792551770274</x:v>
      </x:c>
      <x:c r="G96" s="10" t="n">
        <x:v>0.3876701052742742</x:v>
      </x:c>
      <x:c r="H96" s="10" t="n">
        <x:f>G96-F96</x:f>
        <x:v>0.22405217975657146</x:v>
      </x:c>
    </x:row>
    <x:row r="97">
      <x:c r="A97" s="2" t="str">
        <x:v>mdh_independent_test_20260927:0006</x:v>
      </x:c>
      <x:c r="B97" s="2" t="str">
        <x:v>mdh_independent_test_20260927:0012</x:v>
      </x:c>
      <x:c r="C97" s="10" t="n">
        <x:v>1.1086627502271746</x:v>
      </x:c>
      <x:c r="D97" s="10" t="n">
        <x:v>3.0799930854571924</x:v>
      </x:c>
      <x:c r="E97" s="10" t="n">
        <x:f>D97-C97</x:f>
        <x:v>1.9713303352300178</x:v>
      </x:c>
      <x:c r="F97" s="10" t="n">
        <x:v>0.19594145278674963</x:v>
      </x:c>
      <x:c r="G97" s="10" t="n">
        <x:v>0.5605717585260064</x:v>
      </x:c>
      <x:c r="H97" s="10" t="n">
        <x:f>G97-F97</x:f>
        <x:v>0.36463030573925675</x:v>
      </x:c>
    </x:row>
    <x:row r="98">
      <x:c r="A98" s="2" t="str">
        <x:v>mdh_independent_test_20260927:0006</x:v>
      </x:c>
      <x:c r="B98" s="2" t="str">
        <x:v>mdh_independent_test_20260927:0013</x:v>
      </x:c>
      <x:c r="C98" s="10" t="n">
        <x:v>1.4537182251755636</x:v>
      </x:c>
      <x:c r="D98" s="10" t="n">
        <x:v>3.526326845387025</x:v>
      </x:c>
      <x:c r="E98" s="10" t="n">
        <x:f>D98-C98</x:f>
        <x:v>2.0726086202114615</x:v>
      </x:c>
      <x:c r="F98" s="10" t="n">
        <x:v>0.20173206590342804</x:v>
      </x:c>
      <x:c r="G98" s="10" t="n">
        <x:v>0.6572042192867686</x:v>
      </x:c>
      <x:c r="H98" s="10" t="n">
        <x:f>G98-F98</x:f>
        <x:v>0.45547215338334057</x:v>
      </x:c>
    </x:row>
    <x:row r="99">
      <x:c r="A99" s="2" t="str">
        <x:v>mdh_independent_test_20260927:0006</x:v>
      </x:c>
      <x:c r="B99" s="2" t="str">
        <x:v>mdh_independent_test_20260927:0014</x:v>
      </x:c>
      <x:c r="C99" s="10" t="n">
        <x:v>1.371709623502668</x:v>
      </x:c>
      <x:c r="D99" s="10" t="n">
        <x:v>2.0670054939653193</x:v>
      </x:c>
      <x:c r="E99" s="10" t="n">
        <x:f>D99-C99</x:f>
        <x:v>0.6952958704626513</x:v>
      </x:c>
      <x:c r="F99" s="10" t="n">
        <x:v>0.2257991224524614</x:v>
      </x:c>
      <x:c r="G99" s="10" t="n">
        <x:v>0.3482652770315506</x:v>
      </x:c>
      <x:c r="H99" s="10" t="n">
        <x:f>G99-F99</x:f>
        <x:v>0.12246615457908919</x:v>
      </x:c>
    </x:row>
    <x:row r="100">
      <x:c r="A100" s="2" t="str">
        <x:v>mdh_independent_test_20260927:0006</x:v>
      </x:c>
      <x:c r="B100" s="2" t="str">
        <x:v>mdh_independent_test_20260927:0015</x:v>
      </x:c>
      <x:c r="C100" s="10" t="n">
        <x:v>1.64344907126344</x:v>
      </x:c>
      <x:c r="D100" s="10" t="n">
        <x:v>1.4068351594539426</x:v>
      </x:c>
      <x:c r="E100" s="10" t="n">
        <x:f>D100-C100</x:f>
        <x:v>-0.23661391180949742</x:v>
      </x:c>
      <x:c r="F100" s="10" t="n">
        <x:v>0.19451986592872825</x:v>
      </x:c>
      <x:c r="G100" s="10" t="n">
        <x:v>0.2849096468090029</x:v>
      </x:c>
      <x:c r="H100" s="10" t="n">
        <x:f>G100-F100</x:f>
        <x:v>0.09038978088027463</x:v>
      </x:c>
    </x:row>
    <x:row r="101">
      <x:c r="A101" s="2" t="str">
        <x:v>mdh_independent_test_20260927:0006</x:v>
      </x:c>
      <x:c r="B101" s="2" t="str">
        <x:v>mdh_independent_test_20260927:0016</x:v>
      </x:c>
      <x:c r="C101" s="10" t="n">
        <x:v>2.915551591061833</x:v>
      </x:c>
      <x:c r="D101" s="10" t="n">
        <x:v>2.2976152920903505</x:v>
      </x:c>
      <x:c r="E101" s="10" t="n">
        <x:f>D101-C101</x:f>
        <x:v>-0.6179362989714825</x:v>
      </x:c>
      <x:c r="F101" s="10" t="n">
        <x:v>0.35392087135955225</x:v>
      </x:c>
      <x:c r="G101" s="10" t="n">
        <x:v>0.43233523919311867</x:v>
      </x:c>
      <x:c r="H101" s="10" t="n">
        <x:f>G101-F101</x:f>
        <x:v>0.07841436783356642</x:v>
      </x:c>
    </x:row>
    <x:row r="102">
      <x:c r="A102" s="2" t="str">
        <x:v>mdh_independent_test_20260927:0006</x:v>
      </x:c>
      <x:c r="B102" s="2" t="str">
        <x:v>mdh_independent_test_20260927:0017</x:v>
      </x:c>
      <x:c r="C102" s="10" t="n">
        <x:v>3.345892638373735</x:v>
      </x:c>
      <x:c r="D102" s="10" t="n">
        <x:v>2.198356214332661</x:v>
      </x:c>
      <x:c r="E102" s="10" t="n">
        <x:f>D102-C102</x:f>
        <x:v>-1.147536424041074</x:v>
      </x:c>
      <x:c r="F102" s="10" t="n">
        <x:v>0.43580826422455576</x:v>
      </x:c>
      <x:c r="G102" s="10" t="n">
        <x:v>0.4310240433205518</x:v>
      </x:c>
      <x:c r="H102" s="10" t="n">
        <x:f>G102-F102</x:f>
        <x:v>-0.0047842209040039885</x:v>
      </x:c>
    </x:row>
    <x:row r="103">
      <x:c r="A103" s="2" t="str">
        <x:v>mdh_independent_test_20260927:0006</x:v>
      </x:c>
      <x:c r="B103" s="2" t="str">
        <x:v>mdh_independent_test_20260927:0018</x:v>
      </x:c>
      <x:c r="C103" s="10" t="n">
        <x:v>1.9902456330747127</x:v>
      </x:c>
      <x:c r="D103" s="10" t="n">
        <x:v>0.7833072913308343</x:v>
      </x:c>
      <x:c r="E103" s="10" t="n">
        <x:f>D103-C103</x:f>
        <x:v>-1.2069383417438784</x:v>
      </x:c>
      <x:c r="F103" s="10" t="n">
        <x:v>0.2821411147449143</x:v>
      </x:c>
      <x:c r="G103" s="10" t="n">
        <x:v>0.15635286327827252</x:v>
      </x:c>
      <x:c r="H103" s="10" t="n">
        <x:f>G103-F103</x:f>
        <x:v>-0.1257882514666418</x:v>
      </x:c>
    </x:row>
    <x:row r="104">
      <x:c r="A104" s="2" t="str">
        <x:v>mdh_independent_test_20260927:0006</x:v>
      </x:c>
      <x:c r="B104" s="2" t="str">
        <x:v>mdh_independent_test_20260927:0019</x:v>
      </x:c>
      <x:c r="C104" s="10" t="n">
        <x:v>2.1610549509339516</x:v>
      </x:c>
      <x:c r="D104" s="10" t="n">
        <x:v>1.27658012711634</x:v>
      </x:c>
      <x:c r="E104" s="10" t="n">
        <x:f>D104-C104</x:f>
        <x:v>-0.8844748238176117</x:v>
      </x:c>
      <x:c r="F104" s="10" t="n">
        <x:v>0.20784939647999245</x:v>
      </x:c>
      <x:c r="G104" s="10" t="n">
        <x:v>0.27890389456052755</x:v>
      </x:c>
      <x:c r="H104" s="10" t="n">
        <x:f>G104-F104</x:f>
        <x:v>0.0710544980805351</x:v>
      </x:c>
    </x:row>
    <x:row r="105">
      <x:c r="A105" s="2" t="str">
        <x:v>mdh_independent_test_20260927:0006</x:v>
      </x:c>
      <x:c r="B105" s="2" t="str">
        <x:v>mdh_independent_test_20260927:0020</x:v>
      </x:c>
      <x:c r="C105" s="10" t="n">
        <x:v>1.270866102853116</x:v>
      </x:c>
      <x:c r="D105" s="10" t="n">
        <x:v>1.8832082998255346</x:v>
      </x:c>
      <x:c r="E105" s="10" t="n">
        <x:f>D105-C105</x:f>
        <x:v>0.6123421969724185</x:v>
      </x:c>
      <x:c r="F105" s="10" t="n">
        <x:v>0.1548464395675758</x:v>
      </x:c>
      <x:c r="G105" s="10" t="n">
        <x:v>0.3783284265364353</x:v>
      </x:c>
      <x:c r="H105" s="10" t="n">
        <x:f>G105-F105</x:f>
        <x:v>0.2234819869688595</x:v>
      </x:c>
    </x:row>
    <x:row r="106">
      <x:c r="A106" s="2" t="str">
        <x:v>mdh_independent_test_20260927:0007</x:v>
      </x:c>
      <x:c r="B106" s="2" t="str">
        <x:v>mdh_independent_test_20260927:0008</x:v>
      </x:c>
      <x:c r="C106" s="10" t="n">
        <x:v>2.070374311858163</x:v>
      </x:c>
      <x:c r="D106" s="10" t="n">
        <x:v>0.968686328998632</x:v>
      </x:c>
      <x:c r="E106" s="10" t="n">
        <x:f>D106-C106</x:f>
        <x:v>-1.101687982859531</x:v>
      </x:c>
      <x:c r="F106" s="10" t="n">
        <x:v>0.3451312082634156</x:v>
      </x:c>
      <x:c r="G106" s="10" t="n">
        <x:v>0.1862069952274124</x:v>
      </x:c>
      <x:c r="H106" s="10" t="n">
        <x:f>G106-F106</x:f>
        <x:v>-0.15892421303600318</x:v>
      </x:c>
    </x:row>
    <x:row r="107">
      <x:c r="A107" s="2" t="str">
        <x:v>mdh_independent_test_20260927:0007</x:v>
      </x:c>
      <x:c r="B107" s="2" t="str">
        <x:v>mdh_independent_test_20260927:0009</x:v>
      </x:c>
      <x:c r="C107" s="10" t="n">
        <x:v>1.3831657826369803</x:v>
      </x:c>
      <x:c r="D107" s="10" t="n">
        <x:v>1.0009878267826116</x:v>
      </x:c>
      <x:c r="E107" s="10" t="n">
        <x:f>D107-C107</x:f>
        <x:v>-0.38217795585436876</x:v>
      </x:c>
      <x:c r="F107" s="10" t="n">
        <x:v>0.2743625179515177</x:v>
      </x:c>
      <x:c r="G107" s="10" t="n">
        <x:v>0.1554310799691077</x:v>
      </x:c>
      <x:c r="H107" s="10" t="n">
        <x:f>G107-F107</x:f>
        <x:v>-0.11893143798241002</x:v>
      </x:c>
    </x:row>
    <x:row r="108">
      <x:c r="A108" s="2" t="str">
        <x:v>mdh_independent_test_20260927:0007</x:v>
      </x:c>
      <x:c r="B108" s="2" t="str">
        <x:v>mdh_independent_test_20260927:0010</x:v>
      </x:c>
      <x:c r="C108" s="10" t="n">
        <x:v>2.9741344992321603</x:v>
      </x:c>
      <x:c r="D108" s="10" t="n">
        <x:v>1.9362122034471794</x:v>
      </x:c>
      <x:c r="E108" s="10" t="n">
        <x:f>D108-C108</x:f>
        <x:v>-1.037922295784981</x:v>
      </x:c>
      <x:c r="F108" s="10" t="n">
        <x:v>0.5700074011978757</x:v>
      </x:c>
      <x:c r="G108" s="10" t="n">
        <x:v>0.3381293675066392</x:v>
      </x:c>
      <x:c r="H108" s="10" t="n">
        <x:f>G108-F108</x:f>
        <x:v>-0.23187803369123655</x:v>
      </x:c>
    </x:row>
    <x:row r="109">
      <x:c r="A109" s="2" t="str">
        <x:v>mdh_independent_test_20260927:0007</x:v>
      </x:c>
      <x:c r="B109" s="2" t="str">
        <x:v>mdh_independent_test_20260927:0011</x:v>
      </x:c>
      <x:c r="C109" s="10" t="n">
        <x:v>2.4095932302600485</x:v>
      </x:c>
      <x:c r="D109" s="10" t="n">
        <x:v>1.6499061113825713</x:v>
      </x:c>
      <x:c r="E109" s="10" t="n">
        <x:f>D109-C109</x:f>
        <x:v>-0.7596871188774772</x:v>
      </x:c>
      <x:c r="F109" s="10" t="n">
        <x:v>0.5060987769172914</x:v>
      </x:c>
      <x:c r="G109" s="10" t="n">
        <x:v>0.2666876439687138</x:v>
      </x:c>
      <x:c r="H109" s="10" t="n">
        <x:f>G109-F109</x:f>
        <x:v>-0.23941113294857763</x:v>
      </x:c>
    </x:row>
    <x:row r="110">
      <x:c r="A110" s="2" t="str">
        <x:v>mdh_independent_test_20260927:0007</x:v>
      </x:c>
      <x:c r="B110" s="2" t="str">
        <x:v>mdh_independent_test_20260927:0012</x:v>
      </x:c>
      <x:c r="C110" s="10" t="n">
        <x:v>1.928644893621249</x:v>
      </x:c>
      <x:c r="D110" s="10" t="n">
        <x:v>1.9966473543231604</x:v>
      </x:c>
      <x:c r="E110" s="10" t="n">
        <x:f>D110-C110</x:f>
        <x:v>0.0680024607019114</x:v>
      </x:c>
      <x:c r="F110" s="10" t="n">
        <x:v>0.5169641368377624</x:v>
      </x:c>
      <x:c r="G110" s="10" t="n">
        <x:v>0.3576866081726355</x:v>
      </x:c>
      <x:c r="H110" s="10" t="n">
        <x:f>G110-F110</x:f>
        <x:v>-0.15927752866512696</x:v>
      </x:c>
    </x:row>
    <x:row r="111">
      <x:c r="A111" s="2" t="str">
        <x:v>mdh_independent_test_20260927:0007</x:v>
      </x:c>
      <x:c r="B111" s="2" t="str">
        <x:v>mdh_independent_test_20260927:0013</x:v>
      </x:c>
      <x:c r="C111" s="10" t="n">
        <x:v>2.15302159043138</x:v>
      </x:c>
      <x:c r="D111" s="10" t="n">
        <x:v>2.86173383651752</x:v>
      </x:c>
      <x:c r="E111" s="10" t="n">
        <x:f>D111-C111</x:f>
        <x:v>0.7087122460861397</x:v>
      </x:c>
      <x:c r="F111" s="10" t="n">
        <x:v>0.5767566304552607</x:v>
      </x:c>
      <x:c r="G111" s="10" t="n">
        <x:v>0.5547404589122775</x:v>
      </x:c>
      <x:c r="H111" s="10" t="n">
        <x:f>G111-F111</x:f>
        <x:v>-0.022016171542983187</x:v>
      </x:c>
    </x:row>
    <x:row r="112">
      <x:c r="A112" s="2" t="str">
        <x:v>mdh_independent_test_20260927:0007</x:v>
      </x:c>
      <x:c r="B112" s="2" t="str">
        <x:v>mdh_independent_test_20260927:0014</x:v>
      </x:c>
      <x:c r="C112" s="10" t="n">
        <x:v>1.4918187541257748</x:v>
      </x:c>
      <x:c r="D112" s="10" t="n">
        <x:v>0.6721374113616725</x:v>
      </x:c>
      <x:c r="E112" s="10" t="n">
        <x:f>D112-C112</x:f>
        <x:v>-0.8196813427641023</x:v>
      </x:c>
      <x:c r="F112" s="10" t="n">
        <x:v>0.4114299685918888</x:v>
      </x:c>
      <x:c r="G112" s="10" t="n">
        <x:v>0.15338013889690208</x:v>
      </x:c>
      <x:c r="H112" s="10" t="n">
        <x:f>G112-F112</x:f>
        <x:v>-0.2580498296949867</x:v>
      </x:c>
    </x:row>
    <x:row r="113">
      <x:c r="A113" s="2" t="str">
        <x:v>mdh_independent_test_20260927:0007</x:v>
      </x:c>
      <x:c r="B113" s="2" t="str">
        <x:v>mdh_independent_test_20260927:0015</x:v>
      </x:c>
      <x:c r="C113" s="10" t="n">
        <x:v>3.511946412336075</x:v>
      </x:c>
      <x:c r="D113" s="10" t="n">
        <x:v>2.325755263940976</x:v>
      </x:c>
      <x:c r="E113" s="10" t="n">
        <x:f>D113-C113</x:f>
        <x:v>-1.1861911483950989</x:v>
      </x:c>
      <x:c r="F113" s="10" t="n">
        <x:v>0.6326146761605547</x:v>
      </x:c>
      <x:c r="G113" s="10" t="n">
        <x:v>0.42614316935587265</x:v>
      </x:c>
      <x:c r="H113" s="10" t="n">
        <x:f>G113-F113</x:f>
        <x:v>-0.20647150680468201</x:v>
      </x:c>
    </x:row>
    <x:row r="114">
      <x:c r="A114" s="2" t="str">
        <x:v>mdh_independent_test_20260927:0007</x:v>
      </x:c>
      <x:c r="B114" s="2" t="str">
        <x:v>mdh_independent_test_20260927:0016</x:v>
      </x:c>
      <x:c r="C114" s="10" t="n">
        <x:v>3.686072127165637</x:v>
      </x:c>
      <x:c r="D114" s="10" t="n">
        <x:v>2.6196282334720573</x:v>
      </x:c>
      <x:c r="E114" s="10" t="n">
        <x:f>D114-C114</x:f>
        <x:v>-1.0664438936935796</x:v>
      </x:c>
      <x:c r="F114" s="10" t="n">
        <x:v>0.4871983053007296</x:v>
      </x:c>
      <x:c r="G114" s="10" t="n">
        <x:v>0.42319644222032077</x:v>
      </x:c>
      <x:c r="H114" s="10" t="n">
        <x:f>G114-F114</x:f>
        <x:v>-0.06400186308040884</x:v>
      </x:c>
    </x:row>
    <x:row r="115">
      <x:c r="A115" s="2" t="str">
        <x:v>mdh_independent_test_20260927:0007</x:v>
      </x:c>
      <x:c r="B115" s="2" t="str">
        <x:v>mdh_independent_test_20260927:0017</x:v>
      </x:c>
      <x:c r="C115" s="10" t="n">
        <x:v>3.792146093435786</x:v>
      </x:c>
      <x:c r="D115" s="10" t="n">
        <x:v>2.302506075553185</x:v>
      </x:c>
      <x:c r="E115" s="10" t="n">
        <x:f>D115-C115</x:f>
        <x:v>-1.4896400178826008</x:v>
      </x:c>
      <x:c r="F115" s="10" t="n">
        <x:v>0.45210168900041725</x:v>
      </x:c>
      <x:c r="G115" s="10" t="n">
        <x:v>0.39573092349744154</x:v>
      </x:c>
      <x:c r="H115" s="10" t="n">
        <x:f>G115-F115</x:f>
        <x:v>-0.056370765502975706</x:v>
      </x:c>
    </x:row>
    <x:row r="116">
      <x:c r="A116" s="2" t="str">
        <x:v>mdh_independent_test_20260927:0007</x:v>
      </x:c>
      <x:c r="B116" s="2" t="str">
        <x:v>mdh_independent_test_20260927:0018</x:v>
      </x:c>
      <x:c r="C116" s="10" t="n">
        <x:v>2.252295265163113</x:v>
      </x:c>
      <x:c r="D116" s="10" t="n">
        <x:v>1.6711099504536162</x:v>
      </x:c>
      <x:c r="E116" s="10" t="n">
        <x:f>D116-C116</x:f>
        <x:v>-0.5811853147094967</x:v>
      </x:c>
      <x:c r="F116" s="10" t="n">
        <x:v>0.17083891382361108</x:v>
      </x:c>
      <x:c r="G116" s="10" t="n">
        <x:v>0.2833079738013399</x:v>
      </x:c>
      <x:c r="H116" s="10" t="n">
        <x:f>G116-F116</x:f>
        <x:v>0.1124690599777288</x:v>
      </x:c>
    </x:row>
    <x:row r="117">
      <x:c r="A117" s="2" t="str">
        <x:v>mdh_independent_test_20260927:0007</x:v>
      </x:c>
      <x:c r="B117" s="2" t="str">
        <x:v>mdh_independent_test_20260927:0019</x:v>
      </x:c>
      <x:c r="C117" s="10" t="n">
        <x:v>3.365398830235125</x:v>
      </x:c>
      <x:c r="D117" s="10" t="n">
        <x:v>2.8615844602756586</x:v>
      </x:c>
      <x:c r="E117" s="10" t="n">
        <x:f>D117-C117</x:f>
        <x:v>-0.5038143699594664</x:v>
      </x:c>
      <x:c r="F117" s="10" t="n">
        <x:v>0.48158293216369213</x:v>
      </x:c>
      <x:c r="G117" s="10" t="n">
        <x:v>0.5465777705360164</x:v>
      </x:c>
      <x:c r="H117" s="10" t="n">
        <x:f>G117-F117</x:f>
        <x:v>0.06499483837232428</x:v>
      </x:c>
    </x:row>
    <x:row r="118">
      <x:c r="A118" s="2" t="str">
        <x:v>mdh_independent_test_20260927:0007</x:v>
      </x:c>
      <x:c r="B118" s="2" t="str">
        <x:v>mdh_independent_test_20260927:0020</x:v>
      </x:c>
      <x:c r="C118" s="10" t="n">
        <x:v>2.528062505235111</x:v>
      </x:c>
      <x:c r="D118" s="10" t="n">
        <x:v>1.4326270803283017</x:v>
      </x:c>
      <x:c r="E118" s="10" t="n">
        <x:f>D118-C118</x:f>
        <x:v>-1.0954354249068092</x:v>
      </x:c>
      <x:c r="F118" s="10" t="n">
        <x:v>0.5173725912167166</x:v>
      </x:c>
      <x:c r="G118" s="10" t="n">
        <x:v>0.2983931198529895</x:v>
      </x:c>
      <x:c r="H118" s="10" t="n">
        <x:f>G118-F118</x:f>
        <x:v>-0.21897947136372714</x:v>
      </x:c>
    </x:row>
    <x:row r="119">
      <x:c r="A119" s="2" t="str">
        <x:v>mdh_independent_test_20260927:0008</x:v>
      </x:c>
      <x:c r="B119" s="2" t="str">
        <x:v>mdh_independent_test_20260927:0009</x:v>
      </x:c>
      <x:c r="C119" s="10" t="n">
        <x:v>0.8171930581641502</x:v>
      </x:c>
      <x:c r="D119" s="10" t="n">
        <x:v>0.7495497715036873</x:v>
      </x:c>
      <x:c r="E119" s="10" t="n">
        <x:f>D119-C119</x:f>
        <x:v>-0.06764328666046293</x:v>
      </x:c>
      <x:c r="F119" s="10" t="n">
        <x:v>0.08201280306637697</x:v>
      </x:c>
      <x:c r="G119" s="10" t="n">
        <x:v>0.1333038811555236</x:v>
      </x:c>
      <x:c r="H119" s="10" t="n">
        <x:f>G119-F119</x:f>
        <x:v>0.05129107808914664</x:v>
      </x:c>
    </x:row>
    <x:row r="120">
      <x:c r="A120" s="2" t="str">
        <x:v>mdh_independent_test_20260927:0008</x:v>
      </x:c>
      <x:c r="B120" s="2" t="str">
        <x:v>mdh_independent_test_20260927:0010</x:v>
      </x:c>
      <x:c r="C120" s="10" t="n">
        <x:v>3.148202627472713</x:v>
      </x:c>
      <x:c r="D120" s="10" t="n">
        <x:v>2.0411593566722908</x:v>
      </x:c>
      <x:c r="E120" s="10" t="n">
        <x:f>D120-C120</x:f>
        <x:v>-1.107043270800422</x:v>
      </x:c>
      <x:c r="F120" s="10" t="n">
        <x:v>0.5769933779273865</x:v>
      </x:c>
      <x:c r="G120" s="10" t="n">
        <x:v>0.49426877034417427</x:v>
      </x:c>
      <x:c r="H120" s="10" t="n">
        <x:f>G120-F120</x:f>
        <x:v>-0.0827246075832122</x:v>
      </x:c>
    </x:row>
    <x:row r="121">
      <x:c r="A121" s="2" t="str">
        <x:v>mdh_independent_test_20260927:0008</x:v>
      </x:c>
      <x:c r="B121" s="2" t="str">
        <x:v>mdh_independent_test_20260927:0011</x:v>
      </x:c>
      <x:c r="C121" s="10" t="n">
        <x:v>2.36290908005152</x:v>
      </x:c>
      <x:c r="D121" s="10" t="n">
        <x:v>1.854898082895421</x:v>
      </x:c>
      <x:c r="E121" s="10" t="n">
        <x:f>D121-C121</x:f>
        <x:v>-0.5080109971560989</x:v>
      </x:c>
      <x:c r="F121" s="10" t="n">
        <x:v>0.46254075219695606</x:v>
      </x:c>
      <x:c r="G121" s="10" t="n">
        <x:v>0.4299413646803384</x:v>
      </x:c>
      <x:c r="H121" s="10" t="n">
        <x:f>G121-F121</x:f>
        <x:v>-0.03259938751661767</x:v>
      </x:c>
    </x:row>
    <x:row r="122">
      <x:c r="A122" s="2" t="str">
        <x:v>mdh_independent_test_20260927:0008</x:v>
      </x:c>
      <x:c r="B122" s="2" t="str">
        <x:v>mdh_independent_test_20260927:0012</x:v>
      </x:c>
      <x:c r="C122" s="10" t="n">
        <x:v>1.8389416119512147</x:v>
      </x:c>
      <x:c r="D122" s="10" t="n">
        <x:v>2.3275712970943987</x:v>
      </x:c>
      <x:c r="E122" s="10" t="n">
        <x:f>D122-C122</x:f>
        <x:v>0.48862968514318394</x:v>
      </x:c>
      <x:c r="F122" s="10" t="n">
        <x:v>0.45600298052495103</x:v>
      </x:c>
      <x:c r="G122" s="10" t="n">
        <x:v>0.5104720086389308</x:v>
      </x:c>
      <x:c r="H122" s="10" t="n">
        <x:f>G122-F122</x:f>
        <x:v>0.0544690281139798</x:v>
      </x:c>
    </x:row>
    <x:row r="123">
      <x:c r="A123" s="2" t="str">
        <x:v>mdh_independent_test_20260927:0008</x:v>
      </x:c>
      <x:c r="B123" s="2" t="str">
        <x:v>mdh_independent_test_20260927:0013</x:v>
      </x:c>
      <x:c r="C123" s="10" t="n">
        <x:v>2.527400960027007</x:v>
      </x:c>
      <x:c r="D123" s="10" t="n">
        <x:v>3.3162926275254634</x:v>
      </x:c>
      <x:c r="E123" s="10" t="n">
        <x:f>D123-C123</x:f>
        <x:v>0.7888916674984565</x:v>
      </x:c>
      <x:c r="F123" s="10" t="n">
        <x:v>0.5371841517202768</x:v>
      </x:c>
      <x:c r="G123" s="10" t="n">
        <x:v>0.7076698225151903</x:v>
      </x:c>
      <x:c r="H123" s="10" t="n">
        <x:f>G123-F123</x:f>
        <x:v>0.1704856707949135</x:v>
      </x:c>
    </x:row>
    <x:row r="124">
      <x:c r="A124" s="2" t="str">
        <x:v>mdh_independent_test_20260927:0008</x:v>
      </x:c>
      <x:c r="B124" s="2" t="str">
        <x:v>mdh_independent_test_20260927:0014</x:v>
      </x:c>
      <x:c r="C124" s="10" t="n">
        <x:v>0.9036867327199418</x:v>
      </x:c>
      <x:c r="D124" s="10" t="n">
        <x:v>0.6901981004634646</x:v>
      </x:c>
      <x:c r="E124" s="10" t="n">
        <x:f>D124-C124</x:f>
        <x:v>-0.21348863225647718</x:v>
      </x:c>
      <x:c r="F124" s="10" t="n">
        <x:v>0.14121279386517943</x:v>
      </x:c>
      <x:c r="G124" s="10" t="n">
        <x:v>0.19955990227497386</x:v>
      </x:c>
      <x:c r="H124" s="10" t="n">
        <x:f>G124-F124</x:f>
        <x:v>0.05834710840979443</x:v>
      </x:c>
    </x:row>
    <x:row r="125">
      <x:c r="A125" s="2" t="str">
        <x:v>mdh_independent_test_20260927:0008</x:v>
      </x:c>
      <x:c r="B125" s="2" t="str">
        <x:v>mdh_independent_test_20260927:0015</x:v>
      </x:c>
      <x:c r="C125" s="10" t="n">
        <x:v>3.153430079192432</x:v>
      </x:c>
      <x:c r="D125" s="10" t="n">
        <x:v>2.497118518907145</x:v>
      </x:c>
      <x:c r="E125" s="10" t="n">
        <x:f>D125-C125</x:f>
        <x:v>-0.6563115602852867</x:v>
      </x:c>
      <x:c r="F125" s="10" t="n">
        <x:v>0.4925319325512288</x:v>
      </x:c>
      <x:c r="G125" s="10" t="n">
        <x:v>0.5213600338711469</x:v>
      </x:c>
      <x:c r="H125" s="10" t="n">
        <x:f>G125-F125</x:f>
        <x:v>0.028828101319918142</x:v>
      </x:c>
    </x:row>
    <x:row r="126">
      <x:c r="A126" s="2" t="str">
        <x:v>mdh_independent_test_20260927:0008</x:v>
      </x:c>
      <x:c r="B126" s="2" t="str">
        <x:v>mdh_independent_test_20260927:0016</x:v>
      </x:c>
      <x:c r="C126" s="10" t="n">
        <x:v>4.275220167263969</x:v>
      </x:c>
      <x:c r="D126" s="10" t="n">
        <x:v>2.7384171640671844</x:v>
      </x:c>
      <x:c r="E126" s="10" t="n">
        <x:f>D126-C126</x:f>
        <x:v>-1.5368030031967845</x:v>
      </x:c>
      <x:c r="F126" s="10" t="n">
        <x:v>0.6097573235483744</x:v>
      </x:c>
      <x:c r="G126" s="10" t="n">
        <x:v>0.575748904578859</x:v>
      </x:c>
      <x:c r="H126" s="10" t="n">
        <x:f>G126-F126</x:f>
        <x:v>-0.03400841896951545</x:v>
      </x:c>
    </x:row>
    <x:row r="127">
      <x:c r="A127" s="2" t="str">
        <x:v>mdh_independent_test_20260927:0008</x:v>
      </x:c>
      <x:c r="B127" s="2" t="str">
        <x:v>mdh_independent_test_20260927:0017</x:v>
      </x:c>
      <x:c r="C127" s="10" t="n">
        <x:v>4.5096448299345635</x:v>
      </x:c>
      <x:c r="D127" s="10" t="n">
        <x:v>2.317591423041229</x:v>
      </x:c>
      <x:c r="E127" s="10" t="n">
        <x:f>D127-C127</x:f>
        <x:v>-2.1920534068933346</x:v>
      </x:c>
      <x:c r="F127" s="10" t="n">
        <x:v>0.6425842594371122</x:v>
      </x:c>
      <x:c r="G127" s="10" t="n">
        <x:v>0.5535713319780617</x:v>
      </x:c>
      <x:c r="H127" s="10" t="n">
        <x:f>G127-F127</x:f>
        <x:v>-0.08901292745905043</x:v>
      </x:c>
    </x:row>
    <x:row r="128">
      <x:c r="A128" s="2" t="str">
        <x:v>mdh_independent_test_20260927:0008</x:v>
      </x:c>
      <x:c r="B128" s="2" t="str">
        <x:v>mdh_independent_test_20260927:0018</x:v>
      </x:c>
      <x:c r="C128" s="10" t="n">
        <x:v>2.837038513214369</x:v>
      </x:c>
      <x:c r="D128" s="10" t="n">
        <x:v>1.6154121533812325</x:v>
      </x:c>
      <x:c r="E128" s="10" t="n">
        <x:f>D128-C128</x:f>
        <x:v>-1.2216263598331365</x:v>
      </x:c>
      <x:c r="F128" s="10" t="n">
        <x:v>0.3010974117896571</x:v>
      </x:c>
      <x:c r="G128" s="10" t="n">
        <x:v>0.38139920862774507</x:v>
      </x:c>
      <x:c r="H128" s="10" t="n">
        <x:f>G128-F128</x:f>
        <x:v>0.08030179683808797</x:v>
      </x:c>
    </x:row>
    <x:row r="129">
      <x:c r="A129" s="2" t="str">
        <x:v>mdh_independent_test_20260927:0008</x:v>
      </x:c>
      <x:c r="B129" s="2" t="str">
        <x:v>mdh_independent_test_20260927:0019</x:v>
      </x:c>
      <x:c r="C129" s="10" t="n">
        <x:v>3.672228472191287</x:v>
      </x:c>
      <x:c r="D129" s="10" t="n">
        <x:v>2.92246111442528</x:v>
      </x:c>
      <x:c r="E129" s="10" t="n">
        <x:f>D129-C129</x:f>
        <x:v>-0.7497673577660069</x:v>
      </x:c>
      <x:c r="F129" s="10" t="n">
        <x:v>0.5081381169685055</x:v>
      </x:c>
      <x:c r="G129" s="10" t="n">
        <x:v>0.6478114779184916</x:v>
      </x:c>
      <x:c r="H129" s="10" t="n">
        <x:f>G129-F129</x:f>
        <x:v>0.13967336094998606</x:v>
      </x:c>
    </x:row>
    <x:row r="130">
      <x:c r="A130" s="2" t="str">
        <x:v>mdh_independent_test_20260927:0008</x:v>
      </x:c>
      <x:c r="B130" s="2" t="str">
        <x:v>mdh_independent_test_20260927:0020</x:v>
      </x:c>
      <x:c r="C130" s="10" t="n">
        <x:v>2.587249378442902</x:v>
      </x:c>
      <x:c r="D130" s="10" t="n">
        <x:v>1.6697889153396144</x:v>
      </x:c>
      <x:c r="E130" s="10" t="n">
        <x:f>D130-C130</x:f>
        <x:v>-0.9174604631032874</x:v>
      </x:c>
      <x:c r="F130" s="10" t="n">
        <x:v>0.4743738238030399</x:v>
      </x:c>
      <x:c r="G130" s="10" t="n">
        <x:v>0.4448023394060629</x:v>
      </x:c>
      <x:c r="H130" s="10" t="n">
        <x:f>G130-F130</x:f>
        <x:v>-0.029571484396976988</x:v>
      </x:c>
    </x:row>
    <x:row r="131">
      <x:c r="A131" s="2" t="str">
        <x:v>mdh_independent_test_20260927:0009</x:v>
      </x:c>
      <x:c r="B131" s="2" t="str">
        <x:v>mdh_independent_test_20260927:0010</x:v>
      </x:c>
      <x:c r="C131" s="10" t="n">
        <x:v>3.145455072451388</x:v>
      </x:c>
      <x:c r="D131" s="10" t="n">
        <x:v>1.5609016172604533</x:v>
      </x:c>
      <x:c r="E131" s="10" t="n">
        <x:f>D131-C131</x:f>
        <x:v>-1.5845534551909348</x:v>
      </x:c>
      <x:c r="F131" s="10" t="n">
        <x:v>0.5348349452706653</x:v>
      </x:c>
      <x:c r="G131" s="10" t="n">
        <x:v>0.4300444841639887</x:v>
      </x:c>
      <x:c r="H131" s="10" t="n">
        <x:f>G131-F131</x:f>
        <x:v>-0.10479046110667661</x:v>
      </x:c>
    </x:row>
    <x:row r="132">
      <x:c r="A132" s="2" t="str">
        <x:v>mdh_independent_test_20260927:0009</x:v>
      </x:c>
      <x:c r="B132" s="2" t="str">
        <x:v>mdh_independent_test_20260927:0011</x:v>
      </x:c>
      <x:c r="C132" s="10" t="n">
        <x:v>2.344215120477748</x:v>
      </x:c>
      <x:c r="D132" s="10" t="n">
        <x:v>1.2526974073154606</x:v>
      </x:c>
      <x:c r="E132" s="10" t="n">
        <x:f>D132-C132</x:f>
        <x:v>-1.0915177131622873</x:v>
      </x:c>
      <x:c r="F132" s="10" t="n">
        <x:v>0.4270663619752706</x:v>
      </x:c>
      <x:c r="G132" s="10" t="n">
        <x:v>0.35655560114509155</x:v>
      </x:c>
      <x:c r="H132" s="10" t="n">
        <x:f>G132-F132</x:f>
        <x:v>-0.07051076083017904</x:v>
      </x:c>
    </x:row>
    <x:row r="133">
      <x:c r="A133" s="2" t="str">
        <x:v>mdh_independent_test_20260927:0009</x:v>
      </x:c>
      <x:c r="B133" s="2" t="str">
        <x:v>mdh_independent_test_20260927:0012</x:v>
      </x:c>
      <x:c r="C133" s="10" t="n">
        <x:v>1.7918423328790283</x:v>
      </x:c>
      <x:c r="D133" s="10" t="n">
        <x:v>1.5146348561243774</x:v>
      </x:c>
      <x:c r="E133" s="10" t="n">
        <x:f>D133-C133</x:f>
        <x:v>-0.27720747675465085</x:v>
      </x:c>
      <x:c r="F133" s="10" t="n">
        <x:v>0.4288673137783277</x:v>
      </x:c>
      <x:c r="G133" s="10" t="n">
        <x:v>0.40113470606795876</x:v>
      </x:c>
      <x:c r="H133" s="10" t="n">
        <x:f>G133-F133</x:f>
        <x:v>-0.02773260771036895</x:v>
      </x:c>
    </x:row>
    <x:row r="134">
      <x:c r="A134" s="2" t="str">
        <x:v>mdh_independent_test_20260927:0009</x:v>
      </x:c>
      <x:c r="B134" s="2" t="str">
        <x:v>mdh_independent_test_20260927:0013</x:v>
      </x:c>
      <x:c r="C134" s="10" t="n">
        <x:v>2.2645942942377384</x:v>
      </x:c>
      <x:c r="D134" s="10" t="n">
        <x:v>2.593174353652632</x:v>
      </x:c>
      <x:c r="E134" s="10" t="n">
        <x:f>D134-C134</x:f>
        <x:v>0.32858005941489354</x:v>
      </x:c>
      <x:c r="F134" s="10" t="n">
        <x:v>0.4984970079574365</x:v>
      </x:c>
      <x:c r="G134" s="10" t="n">
        <x:v>0.600749363002807</x:v>
      </x:c>
      <x:c r="H134" s="10" t="n">
        <x:f>G134-F134</x:f>
        <x:v>0.1022523550453705</x:v>
      </x:c>
    </x:row>
    <x:row r="135">
      <x:c r="A135" s="2" t="str">
        <x:v>mdh_independent_test_20260927:0009</x:v>
      </x:c>
      <x:c r="B135" s="2" t="str">
        <x:v>mdh_independent_test_20260927:0014</x:v>
      </x:c>
      <x:c r="C135" s="10" t="n">
        <x:v>0.7731165161716189</x:v>
      </x:c>
      <x:c r="D135" s="10" t="n">
        <x:v>1.00247333685166</x:v>
      </x:c>
      <x:c r="E135" s="10" t="n">
        <x:f>D135-C135</x:f>
        <x:v>0.22935682068004115</x:v>
      </x:c>
      <x:c r="F135" s="10" t="n">
        <x:v>0.16167563239653662</x:v>
      </x:c>
      <x:c r="G135" s="10" t="n">
        <x:v>0.19776216943602887</x:v>
      </x:c>
      <x:c r="H135" s="10" t="n">
        <x:f>G135-F135</x:f>
        <x:v>0.036086537039492245</x:v>
      </x:c>
    </x:row>
    <x:row r="136">
      <x:c r="A136" s="2" t="str">
        <x:v>mdh_independent_test_20260927:0009</x:v>
      </x:c>
      <x:c r="B136" s="2" t="str">
        <x:v>mdh_independent_test_20260927:0015</x:v>
      </x:c>
      <x:c r="C136" s="10" t="n">
        <x:v>3.25009506940333</x:v>
      </x:c>
      <x:c r="D136" s="10" t="n">
        <x:v>2.3302184831157646</x:v>
      </x:c>
      <x:c r="E136" s="10" t="n">
        <x:f>D136-C136</x:f>
        <x:v>-0.9198765862875655</x:v>
      </x:c>
      <x:c r="F136" s="10" t="n">
        <x:v>0.47988669644372073</x:v>
      </x:c>
      <x:c r="G136" s="10" t="n">
        <x:v>0.49149898581820717</x:v>
      </x:c>
      <x:c r="H136" s="10" t="n">
        <x:f>G136-F136</x:f>
        <x:v>0.01161228937448644</x:v>
      </x:c>
    </x:row>
    <x:row r="137">
      <x:c r="A137" s="2" t="str">
        <x:v>mdh_independent_test_20260927:0009</x:v>
      </x:c>
      <x:c r="B137" s="2" t="str">
        <x:v>mdh_independent_test_20260927:0016</x:v>
      </x:c>
      <x:c r="C137" s="10" t="n">
        <x:v>4.058175748460649</x:v>
      </x:c>
      <x:c r="D137" s="10" t="n">
        <x:v>2.152660702938107</x:v>
      </x:c>
      <x:c r="E137" s="10" t="n">
        <x:f>D137-C137</x:f>
        <x:v>-1.9055150455225425</x:v>
      </x:c>
      <x:c r="F137" s="10" t="n">
        <x:v>0.5413197405749935</x:v>
      </x:c>
      <x:c r="G137" s="10" t="n">
        <x:v>0.49982694874798533</x:v>
      </x:c>
      <x:c r="H137" s="10" t="n">
        <x:f>G137-F137</x:f>
        <x:v>-0.04149279182700821</x:v>
      </x:c>
    </x:row>
    <x:row r="138">
      <x:c r="A138" s="2" t="str">
        <x:v>mdh_independent_test_20260927:0009</x:v>
      </x:c>
      <x:c r="B138" s="2" t="str">
        <x:v>mdh_independent_test_20260927:0017</x:v>
      </x:c>
      <x:c r="C138" s="10" t="n">
        <x:v>4.2850965649460875</x:v>
      </x:c>
      <x:c r="D138" s="10" t="n">
        <x:v>1.7521324587229719</x:v>
      </x:c>
      <x:c r="E138" s="10" t="n">
        <x:f>D138-C138</x:f>
        <x:v>-2.5329641062231154</x:v>
      </x:c>
      <x:c r="F138" s="10" t="n">
        <x:v>0.568816392887</x:v>
      </x:c>
      <x:c r="G138" s="10" t="n">
        <x:v>0.47589175967421976</x:v>
      </x:c>
      <x:c r="H138" s="10" t="n">
        <x:f>G138-F138</x:f>
        <x:v>-0.09292463321278027</x:v>
      </x:c>
    </x:row>
    <x:row r="139">
      <x:c r="A139" s="2" t="str">
        <x:v>mdh_independent_test_20260927:0009</x:v>
      </x:c>
      <x:c r="B139" s="2" t="str">
        <x:v>mdh_independent_test_20260927:0018</x:v>
      </x:c>
      <x:c r="C139" s="10" t="n">
        <x:v>2.5705435123349027</x:v>
      </x:c>
      <x:c r="D139" s="10" t="n">
        <x:v>1.7350862108645893</x:v>
      </x:c>
      <x:c r="E139" s="10" t="n">
        <x:f>D139-C139</x:f>
        <x:v>-0.8354573014703135</x:v>
      </x:c>
      <x:c r="F139" s="10" t="n">
        <x:v>0.22240153132557003</x:v>
      </x:c>
      <x:c r="G139" s="10" t="n">
        <x:v>0.39065706478922285</x:v>
      </x:c>
      <x:c r="H139" s="10" t="n">
        <x:f>G139-F139</x:f>
        <x:v>0.16825553346365282</x:v>
      </x:c>
    </x:row>
    <x:row r="140">
      <x:c r="A140" s="2" t="str">
        <x:v>mdh_independent_test_20260927:0009</x:v>
      </x:c>
      <x:c r="B140" s="2" t="str">
        <x:v>mdh_independent_test_20260927:0019</x:v>
      </x:c>
      <x:c r="C140" s="10" t="n">
        <x:v>3.54341363047069</x:v>
      </x:c>
      <x:c r="D140" s="10" t="n">
        <x:v>2.8443809076184667</x:v>
      </x:c>
      <x:c r="E140" s="10" t="n">
        <x:f>D140-C140</x:f>
        <x:v>-0.6990327228522233</x:v>
      </x:c>
      <x:c r="F140" s="10" t="n">
        <x:v>0.45183012044805276</x:v>
      </x:c>
      <x:c r="G140" s="10" t="n">
        <x:v>0.6302028671994486</x:v>
      </x:c>
      <x:c r="H140" s="10" t="n">
        <x:f>G140-F140</x:f>
        <x:v>0.17837274675139586</x:v>
      </x:c>
    </x:row>
    <x:row r="141">
      <x:c r="A141" s="2" t="str">
        <x:v>mdh_independent_test_20260927:0009</x:v>
      </x:c>
      <x:c r="B141" s="2" t="str">
        <x:v>mdh_independent_test_20260927:0020</x:v>
      </x:c>
      <x:c r="C141" s="10" t="n">
        <x:v>2.566940960156773</x:v>
      </x:c>
      <x:c r="D141" s="10" t="n">
        <x:v>1.2158471364434247</x:v>
      </x:c>
      <x:c r="E141" s="10" t="n">
        <x:f>D141-C141</x:f>
        <x:v>-1.3510938237133483</x:v>
      </x:c>
      <x:c r="F141" s="10" t="n">
        <x:v>0.43673950484302504</x:v>
      </x:c>
      <x:c r="G141" s="10" t="n">
        <x:v>0.3730565866079231</x:v>
      </x:c>
      <x:c r="H141" s="10" t="n">
        <x:f>G141-F141</x:f>
        <x:v>-0.06368291823510192</x:v>
      </x:c>
    </x:row>
    <x:row r="142">
      <x:c r="A142" s="2" t="str">
        <x:v>mdh_independent_test_20260927:0010</x:v>
      </x:c>
      <x:c r="B142" s="2" t="str">
        <x:v>mdh_independent_test_20260927:0011</x:v>
      </x:c>
      <x:c r="C142" s="10" t="n">
        <x:v>0.7964088077129194</x:v>
      </x:c>
      <x:c r="D142" s="10" t="n">
        <x:v>0.5488937376666005</x:v>
      </x:c>
      <x:c r="E142" s="10" t="n">
        <x:f>D142-C142</x:f>
        <x:v>-0.2475150700463189</x:v>
      </x:c>
      <x:c r="F142" s="10" t="n">
        <x:v>0.12197546021123135</x:v>
      </x:c>
      <x:c r="G142" s="10" t="n">
        <x:v>0.08554316426818238</x:v>
      </x:c>
      <x:c r="H142" s="10" t="n">
        <x:f>G142-F142</x:f>
        <x:v>-0.03643229594304896</x:v>
      </x:c>
    </x:row>
    <x:row r="143">
      <x:c r="A143" s="2" t="str">
        <x:v>mdh_independent_test_20260927:0010</x:v>
      </x:c>
      <x:c r="B143" s="2" t="str">
        <x:v>mdh_independent_test_20260927:0012</x:v>
      </x:c>
      <x:c r="C143" s="10" t="n">
        <x:v>1.4844542790731912</x:v>
      </x:c>
      <x:c r="D143" s="10" t="n">
        <x:v>1.180897586335779</x:v>
      </x:c>
      <x:c r="E143" s="10" t="n">
        <x:f>D143-C143</x:f>
        <x:v>-0.30355669273741226</x:v>
      </x:c>
      <x:c r="F143" s="10" t="n">
        <x:v>0.1559123115256503</x:v>
      </x:c>
      <x:c r="G143" s="10" t="n">
        <x:v>0.2184955629604573</x:v>
      </x:c>
      <x:c r="H143" s="10" t="n">
        <x:f>G143-F143</x:f>
        <x:v>0.062583251434807</x:v>
      </x:c>
    </x:row>
    <x:row r="144">
      <x:c r="A144" s="2" t="str">
        <x:v>mdh_independent_test_20260927:0010</x:v>
      </x:c>
      <x:c r="B144" s="2" t="str">
        <x:v>mdh_independent_test_20260927:0013</x:v>
      </x:c>
      <x:c r="C144" s="10" t="n">
        <x:v>1.1429360116652423</x:v>
      </x:c>
      <x:c r="D144" s="10" t="n">
        <x:v>1.5697532525301998</x:v>
      </x:c>
      <x:c r="E144" s="10" t="n">
        <x:f>D144-C144</x:f>
        <x:v>0.42681724086495754</x:v>
      </x:c>
      <x:c r="F144" s="10" t="n">
        <x:v>0.13231774135670102</x:v>
      </x:c>
      <x:c r="G144" s="10" t="n">
        <x:v>0.30260096996446706</x:v>
      </x:c>
      <x:c r="H144" s="10" t="n">
        <x:f>G144-F144</x:f>
        <x:v>0.17028322860776604</x:v>
      </x:c>
    </x:row>
    <x:row r="145">
      <x:c r="A145" s="2" t="str">
        <x:v>mdh_independent_test_20260927:0010</x:v>
      </x:c>
      <x:c r="B145" s="2" t="str">
        <x:v>mdh_independent_test_20260927:0014</x:v>
      </x:c>
      <x:c r="C145" s="10" t="n">
        <x:v>1.9330353403921061</x:v>
      </x:c>
      <x:c r="D145" s="10" t="n">
        <x:v>1.9739810861418554</x:v>
      </x:c>
      <x:c r="E145" s="10" t="n">
        <x:f>D145-C145</x:f>
        <x:v>0.040945745749749296</x:v>
      </x:c>
      <x:c r="F145" s="10" t="n">
        <x:v>0.47158761287201406</x:v>
      </x:c>
      <x:c r="G145" s="10" t="n">
        <x:v>0.3184516461320043</x:v>
      </x:c>
      <x:c r="H145" s="10" t="n">
        <x:f>G145-F145</x:f>
        <x:v>-0.1531359667400098</x:v>
      </x:c>
    </x:row>
    <x:row r="146">
      <x:c r="A146" s="2" t="str">
        <x:v>mdh_independent_test_20260927:0010</x:v>
      </x:c>
      <x:c r="B146" s="2" t="str">
        <x:v>mdh_independent_test_20260927:0015</x:v>
      </x:c>
      <x:c r="C146" s="10" t="n">
        <x:v>0.7567975505535419</x:v>
      </x:c>
      <x:c r="D146" s="10" t="n">
        <x:v>1.111316879089594</x:v>
      </x:c>
      <x:c r="E146" s="10" t="n">
        <x:f>D146-C146</x:f>
        <x:v>0.35451932853605206</x:v>
      </x:c>
      <x:c r="F146" s="10" t="n">
        <x:v>0.2560733695510828</x:v>
      </x:c>
      <x:c r="G146" s="10" t="n">
        <x:v>0.21962910155872914</x:v>
      </x:c>
      <x:c r="H146" s="10" t="n">
        <x:f>G146-F146</x:f>
        <x:v>-0.036444267992353646</x:v>
      </x:c>
    </x:row>
    <x:row r="147">
      <x:c r="A147" s="2" t="str">
        <x:v>mdh_independent_test_20260927:0010</x:v>
      </x:c>
      <x:c r="B147" s="2" t="str">
        <x:v>mdh_independent_test_20260927:0016</x:v>
      </x:c>
      <x:c r="C147" s="10" t="n">
        <x:v>1.6822084026414368</x:v>
      </x:c>
      <x:c r="D147" s="10" t="n">
        <x:v>0.6864122285252372</x:v>
      </x:c>
      <x:c r="E147" s="10" t="n">
        <x:f>D147-C147</x:f>
        <x:v>-0.9957961741161996</x:v>
      </x:c>
      <x:c r="F147" s="10" t="n">
        <x:v>0.26730208362688956</x:v>
      </x:c>
      <x:c r="G147" s="10" t="n">
        <x:v>0.09598095782441535</x:v>
      </x:c>
      <x:c r="H147" s="10" t="n">
        <x:f>G147-F147</x:f>
        <x:v>-0.17132112580247422</x:v>
      </x:c>
    </x:row>
    <x:row r="148">
      <x:c r="A148" s="2" t="str">
        <x:v>mdh_independent_test_20260927:0010</x:v>
      </x:c>
      <x:c r="B148" s="2" t="str">
        <x:v>mdh_independent_test_20260927:0017</x:v>
      </x:c>
      <x:c r="C148" s="10" t="n">
        <x:v>1.9613498046357754</x:v>
      </x:c>
      <x:c r="D148" s="10" t="n">
        <x:v>0.6085999755241269</x:v>
      </x:c>
      <x:c r="E148" s="10" t="n">
        <x:f>D148-C148</x:f>
        <x:v>-1.3527498291116484</x:v>
      </x:c>
      <x:c r="F148" s="10" t="n">
        <x:v>0.33649830537052844</x:v>
      </x:c>
      <x:c r="G148" s="10" t="n">
        <x:v>0.07855441645710784</x:v>
      </x:c>
      <x:c r="H148" s="10" t="n">
        <x:f>G148-F148</x:f>
        <x:v>-0.25794388891342057</x:v>
      </x:c>
    </x:row>
    <x:row r="149">
      <x:c r="A149" s="2" t="str">
        <x:v>mdh_independent_test_20260927:0010</x:v>
      </x:c>
      <x:c r="B149" s="2" t="str">
        <x:v>mdh_independent_test_20260927:0018</x:v>
      </x:c>
      <x:c r="C149" s="10" t="n">
        <x:v>1.153669801772085</x:v>
      </x:c>
      <x:c r="D149" s="10" t="n">
        <x:v>1.2633607394871267</x:v>
      </x:c>
      <x:c r="E149" s="10" t="n">
        <x:f>D149-C149</x:f>
        <x:v>0.10969093771504168</x:v>
      </x:c>
      <x:c r="F149" s="10" t="n">
        <x:v>0.41658601361210984</x:v>
      </x:c>
      <x:c r="G149" s="10" t="n">
        <x:v>0.2530562500420094</x:v>
      </x:c>
      <x:c r="H149" s="10" t="n">
        <x:f>G149-F149</x:f>
        <x:v>-0.16352976357010046</x:v>
      </x:c>
    </x:row>
    <x:row r="150">
      <x:c r="A150" s="2" t="str">
        <x:v>mdh_independent_test_20260927:0010</x:v>
      </x:c>
      <x:c r="B150" s="2" t="str">
        <x:v>mdh_independent_test_20260927:0019</x:v>
      </x:c>
      <x:c r="C150" s="10" t="n">
        <x:v>1.205963653795772</x:v>
      </x:c>
      <x:c r="D150" s="10" t="n">
        <x:v>1.5521163315700635</x:v>
      </x:c>
      <x:c r="E150" s="10" t="n">
        <x:f>D150-C150</x:f>
        <x:v>0.3461526777742914</x:v>
      </x:c>
      <x:c r="F150" s="10" t="n">
        <x:v>0.1959307480440369</x:v>
      </x:c>
      <x:c r="G150" s="10" t="n">
        <x:v>0.3082119732582855</x:v>
      </x:c>
      <x:c r="H150" s="10" t="n">
        <x:f>G150-F150</x:f>
        <x:v>0.11228122521424858</x:v>
      </x:c>
    </x:row>
    <x:row r="151">
      <x:c r="A151" s="2" t="str">
        <x:v>mdh_independent_test_20260927:0010</x:v>
      </x:c>
      <x:c r="B151" s="2" t="str">
        <x:v>mdh_independent_test_20260927:0020</x:v>
      </x:c>
      <x:c r="C151" s="10" t="n">
        <x:v>0.2556686177394123</x:v>
      </x:c>
      <x:c r="D151" s="10" t="n">
        <x:v>0.4213616471457365</x:v>
      </x:c>
      <x:c r="E151" s="10" t="n">
        <x:f>D151-C151</x:f>
        <x:v>0.1656930294063242</x:v>
      </x:c>
      <x:c r="F151" s="10" t="n">
        <x:v>0.12247783301032923</x:v>
      </x:c>
      <x:c r="G151" s="10" t="n">
        <x:v>0.06808231762055356</x:v>
      </x:c>
      <x:c r="H151" s="10" t="n">
        <x:f>G151-F151</x:f>
        <x:v>-0.054395515389775675</x:v>
      </x:c>
    </x:row>
    <x:row r="152">
      <x:c r="A152" s="2" t="str">
        <x:v>mdh_independent_test_20260927:0011</x:v>
      </x:c>
      <x:c r="B152" s="2" t="str">
        <x:v>mdh_independent_test_20260927:0012</x:v>
      </x:c>
      <x:c r="C152" s="10" t="n">
        <x:v>0.6692380840086781</x:v>
      </x:c>
      <x:c r="D152" s="10" t="n">
        <x:v>0.8689632658158417</x:v>
      </x:c>
      <x:c r="E152" s="10" t="n">
        <x:f>D152-C152</x:f>
        <x:v>0.1997251818071636</x:v>
      </x:c>
      <x:c r="F152" s="10" t="n">
        <x:v>0.07033905618206598</x:v>
      </x:c>
      <x:c r="G152" s="10" t="n">
        <x:v>0.17331158322775916</x:v>
      </x:c>
      <x:c r="H152" s="10" t="n">
        <x:f>G152-F152</x:f>
        <x:v>0.10297252704569318</x:v>
      </x:c>
    </x:row>
    <x:row r="153">
      <x:c r="A153" s="2" t="str">
        <x:v>mdh_independent_test_20260927:0011</x:v>
      </x:c>
      <x:c r="B153" s="2" t="str">
        <x:v>mdh_independent_test_20260927:0013</x:v>
      </x:c>
      <x:c r="C153" s="10" t="n">
        <x:v>0.8750573109706955</x:v>
      </x:c>
      <x:c r="D153" s="10" t="n">
        <x:v>1.6047027337341755</x:v>
      </x:c>
      <x:c r="E153" s="10" t="n">
        <x:f>D153-C153</x:f>
        <x:v>0.72964542276348</x:v>
      </x:c>
      <x:c r="F153" s="10" t="n">
        <x:v>0.12209655589857155</x:v>
      </x:c>
      <x:c r="G153" s="10" t="n">
        <x:v>0.3159430816411565</x:v>
      </x:c>
      <x:c r="H153" s="10" t="n">
        <x:f>G153-F153</x:f>
        <x:v>0.19384652574258493</x:v>
      </x:c>
    </x:row>
    <x:row r="154">
      <x:c r="A154" s="2" t="str">
        <x:v>mdh_independent_test_20260927:0011</x:v>
      </x:c>
      <x:c r="B154" s="2" t="str">
        <x:v>mdh_independent_test_20260927:0014</x:v>
      </x:c>
      <x:c r="C154" s="10" t="n">
        <x:v>1.3130669788801335</x:v>
      </x:c>
      <x:c r="D154" s="10" t="n">
        <x:v>1.6481877956158302</x:v>
      </x:c>
      <x:c r="E154" s="10" t="n">
        <x:f>D154-C154</x:f>
        <x:v>0.3351208167356967</x:v>
      </x:c>
      <x:c r="F154" s="10" t="n">
        <x:v>0.35109226495956103</x:v>
      </x:c>
      <x:c r="G154" s="10" t="n">
        <x:v>0.27322697933208223</x:v>
      </x:c>
      <x:c r="H154" s="10" t="n">
        <x:f>G154-F154</x:f>
        <x:v>-0.0778652856274788</x:v>
      </x:c>
    </x:row>
    <x:row r="155">
      <x:c r="A155" s="2" t="str">
        <x:v>mdh_independent_test_20260927:0011</x:v>
      </x:c>
      <x:c r="B155" s="2" t="str">
        <x:v>mdh_independent_test_20260927:0015</x:v>
      </x:c>
      <x:c r="C155" s="10" t="n">
        <x:v>1.3519260733656338</x:v>
      </x:c>
      <x:c r="D155" s="10" t="n">
        <x:v>1.4738455341225758</x:v>
      </x:c>
      <x:c r="E155" s="10" t="n">
        <x:f>D155-C155</x:f>
        <x:v>0.12191946075694204</x:v>
      </x:c>
      <x:c r="F155" s="10" t="n">
        <x:v>0.1822332480040282</x:v>
      </x:c>
      <x:c r="G155" s="10" t="n">
        <x:v>0.27293561976640046</x:v>
      </x:c>
      <x:c r="H155" s="10" t="n">
        <x:f>G155-F155</x:f>
        <x:v>0.09070237176237225</x:v>
      </x:c>
    </x:row>
    <x:row r="156">
      <x:c r="A156" s="2" t="str">
        <x:v>mdh_independent_test_20260927:0011</x:v>
      </x:c>
      <x:c r="B156" s="2" t="str">
        <x:v>mdh_independent_test_20260927:0016</x:v>
      </x:c>
      <x:c r="C156" s="10" t="n">
        <x:v>2.0829945029919705</x:v>
      </x:c>
      <x:c r="D156" s="10" t="n">
        <x:v>1.062735165559595</x:v>
      </x:c>
      <x:c r="E156" s="10" t="n">
        <x:f>D156-C156</x:f>
        <x:v>-1.0202593374323756</x:v>
      </x:c>
      <x:c r="F156" s="10" t="n">
        <x:v>0.3072448211112651</x:v>
      </x:c>
      <x:c r="G156" s="10" t="n">
        <x:v>0.15902872436061757</x:v>
      </x:c>
      <x:c r="H156" s="10" t="n">
        <x:f>G156-F156</x:f>
        <x:v>-0.14821609675064754</x:v>
      </x:c>
    </x:row>
    <x:row r="157">
      <x:c r="A157" s="2" t="str">
        <x:v>mdh_independent_test_20260927:0011</x:v>
      </x:c>
      <x:c r="B157" s="2" t="str">
        <x:v>mdh_independent_test_20260927:0017</x:v>
      </x:c>
      <x:c r="C157" s="10" t="n">
        <x:v>2.407815718306407</x:v>
      </x:c>
      <x:c r="D157" s="10" t="n">
        <x:v>0.9550936761926592</x:v>
      </x:c>
      <x:c r="E157" s="10" t="n">
        <x:f>D157-C157</x:f>
        <x:v>-1.452722042113748</x:v>
      </x:c>
      <x:c r="F157" s="10" t="n">
        <x:v>0.38056128051609883</x:v>
      </x:c>
      <x:c r="G157" s="10" t="n">
        <x:v>0.12928177829141235</x:v>
      </x:c>
      <x:c r="H157" s="10" t="n">
        <x:f>G157-F157</x:f>
        <x:v>-0.2512795022246865</x:v>
      </x:c>
    </x:row>
    <x:row r="158">
      <x:c r="A158" s="2" t="str">
        <x:v>mdh_independent_test_20260927:0011</x:v>
      </x:c>
      <x:c r="B158" s="2" t="str">
        <x:v>mdh_independent_test_20260927:0018</x:v>
      </x:c>
      <x:c r="C158" s="10" t="n">
        <x:v>0.9474525080083284</x:v>
      </x:c>
      <x:c r="D158" s="10" t="n">
        <x:v>1.3967612673463463</x:v>
      </x:c>
      <x:c r="E158" s="10" t="n">
        <x:f>D158-C158</x:f>
        <x:v>0.44930875933801795</x:v>
      </x:c>
      <x:c r="F158" s="10" t="n">
        <x:v>0.34633015501000075</x:v>
      </x:c>
      <x:c r="G158" s="10" t="n">
        <x:v>0.25875016939498197</x:v>
      </x:c>
      <x:c r="H158" s="10" t="n">
        <x:f>G158-F158</x:f>
        <x:v>-0.08757998561501878</x:v>
      </x:c>
    </x:row>
    <x:row r="159">
      <x:c r="A159" s="2" t="str">
        <x:v>mdh_independent_test_20260927:0011</x:v>
      </x:c>
      <x:c r="B159" s="2" t="str">
        <x:v>mdh_independent_test_20260927:0019</x:v>
      </x:c>
      <x:c r="C159" s="10" t="n">
        <x:v>1.6771809972073586</x:v>
      </x:c>
      <x:c r="D159" s="10" t="n">
        <x:v>1.9626680230221532</x:v>
      </x:c>
      <x:c r="E159" s="10" t="n">
        <x:f>D159-C159</x:f>
        <x:v>0.28548702581479457</x:v>
      </x:c>
      <x:c r="F159" s="10" t="n">
        <x:v>0.18577082792888774</x:v>
      </x:c>
      <x:c r="G159" s="10" t="n">
        <x:v>0.38013080878145533</x:v>
      </x:c>
      <x:c r="H159" s="10" t="n">
        <x:f>G159-F159</x:f>
        <x:v>0.1943599808525676</x:v>
      </x:c>
    </x:row>
    <x:row r="160">
      <x:c r="A160" s="2" t="str">
        <x:v>mdh_independent_test_20260927:0011</x:v>
      </x:c>
      <x:c r="B160" s="2" t="str">
        <x:v>mdh_independent_test_20260927:0020</x:v>
      </x:c>
      <x:c r="C160" s="10" t="n">
        <x:v>0.546898511741688</x:v>
      </x:c>
      <x:c r="D160" s="10" t="n">
        <x:v>0.3779312618514406</x:v>
      </x:c>
      <x:c r="E160" s="10" t="n">
        <x:f>D160-C160</x:f>
        <x:v>-0.16896724989024742</x:v>
      </x:c>
      <x:c r="F160" s="10" t="n">
        <x:v>0.043261946011846845</x:v>
      </x:c>
      <x:c r="G160" s="10" t="n">
        <x:v>0.06328018514080046</x:v>
      </x:c>
      <x:c r="H160" s="10" t="n">
        <x:f>G160-F160</x:f>
        <x:v>0.020018239128953612</x:v>
      </x:c>
    </x:row>
    <x:row r="161">
      <x:c r="A161" s="2" t="str">
        <x:v>mdh_independent_test_20260927:0012</x:v>
      </x:c>
      <x:c r="B161" s="2" t="str">
        <x:v>mdh_independent_test_20260927:0013</x:v>
      </x:c>
      <x:c r="C161" s="10" t="n">
        <x:v>1.282336139095192</x:v>
      </x:c>
      <x:c r="D161" s="10" t="n">
        <x:v>1.0668618996818198</x:v>
      </x:c>
      <x:c r="E161" s="10" t="n">
        <x:f>D161-C161</x:f>
        <x:v>-0.21547423941337218</x:v>
      </x:c>
      <x:c r="F161" s="10" t="n">
        <x:v>0.18409267090436468</x:v>
      </x:c>
      <x:c r="G161" s="10" t="n">
        <x:v>0.20715944765243263</x:v>
      </x:c>
      <x:c r="H161" s="10" t="n">
        <x:f>G161-F161</x:f>
        <x:v>0.023066776748067952</x:v>
      </x:c>
    </x:row>
    <x:row r="162">
      <x:c r="A162" s="2" t="str">
        <x:v>mdh_independent_test_20260927:0012</x:v>
      </x:c>
      <x:c r="B162" s="2" t="str">
        <x:v>mdh_independent_test_20260927:0014</x:v>
      </x:c>
      <x:c r="C162" s="10" t="n">
        <x:v>0.8065617782709701</x:v>
      </x:c>
      <x:c r="D162" s="10" t="n">
        <x:v>2.140871057877313</x:v>
      </x:c>
      <x:c r="E162" s="10" t="n">
        <x:f>D162-C162</x:f>
        <x:v>1.3343092796063427</x:v>
      </x:c>
      <x:c r="F162" s="10" t="n">
        <x:v>0.3429612007807041</x:v>
      </x:c>
      <x:c r="G162" s="10" t="n">
        <x:v>0.39463108307103983</x:v>
      </x:c>
      <x:c r="H162" s="10" t="n">
        <x:f>G162-F162</x:f>
        <x:v>0.051669882290335756</x:v>
      </x:c>
    </x:row>
    <x:row r="163">
      <x:c r="A163" s="2" t="str">
        <x:v>mdh_independent_test_20260927:0012</x:v>
      </x:c>
      <x:c r="B163" s="2" t="str">
        <x:v>mdh_independent_test_20260927:0015</x:v>
      </x:c>
      <x:c r="C163" s="10" t="n">
        <x:v>2.0684608976887615</x:v>
      </x:c>
      <x:c r="D163" s="10" t="n">
        <x:v>2.017792918582204</x:v>
      </x:c>
      <x:c r="E163" s="10" t="n">
        <x:f>D163-C163</x:f>
        <x:v>-0.050667979106557404</x:v>
      </x:c>
      <x:c r="F163" s="10" t="n">
        <x:v>0.19624139204858274</x:v>
      </x:c>
      <x:c r="G163" s="10" t="n">
        <x:v>0.40533935785445857</x:v>
      </x:c>
      <x:c r="H163" s="10" t="n">
        <x:f>G163-F163</x:f>
        <x:v>0.20909796580587584</x:v>
      </x:c>
    </x:row>
    <x:row r="164">
      <x:c r="A164" s="2" t="str">
        <x:v>mdh_independent_test_20260927:0012</x:v>
      </x:c>
      <x:c r="B164" s="2" t="str">
        <x:v>mdh_independent_test_20260927:0016</x:v>
      </x:c>
      <x:c r="C164" s="10" t="n">
        <x:v>2.646055840114834</x:v>
      </x:c>
      <x:c r="D164" s="10" t="n">
        <x:v>1.2330329826179873</x:v>
      </x:c>
      <x:c r="E164" s="10" t="n">
        <x:f>D164-C164</x:f>
        <x:v>-1.4130228574968469</x:v>
      </x:c>
      <x:c r="F164" s="10" t="n">
        <x:v>0.36660533062647316</x:v>
      </x:c>
      <x:c r="G164" s="10" t="n">
        <x:v>0.21388540977719628</x:v>
      </x:c>
      <x:c r="H164" s="10" t="n">
        <x:f>G164-F164</x:f>
        <x:v>-0.15271992084927688</x:v>
      </x:c>
    </x:row>
    <x:row r="165">
      <x:c r="A165" s="2" t="str">
        <x:v>mdh_independent_test_20260927:0012</x:v>
      </x:c>
      <x:c r="B165" s="2" t="str">
        <x:v>mdh_independent_test_20260927:0017</x:v>
      </x:c>
      <x:c r="C165" s="10" t="n">
        <x:v>2.908863653327403</x:v>
      </x:c>
      <x:c r="D165" s="10" t="n">
        <x:v>1.057292389265175</x:v>
      </x:c>
      <x:c r="E165" s="10" t="n">
        <x:f>D165-C165</x:f>
        <x:v>-1.851571264062228</x:v>
      </x:c>
      <x:c r="F165" s="10" t="n">
        <x:v>0.4263797253169811</x:v>
      </x:c>
      <x:c r="G165" s="10" t="n">
        <x:v>0.1865523953067854</x:v>
      </x:c>
      <x:c r="H165" s="10" t="n">
        <x:f>G165-F165</x:f>
        <x:v>-0.23982733001019568</x:v>
      </x:c>
    </x:row>
    <x:row r="166">
      <x:c r="A166" s="2" t="str">
        <x:v>mdh_independent_test_20260927:0012</x:v>
      </x:c>
      <x:c r="B166" s="2" t="str">
        <x:v>mdh_independent_test_20260927:0018</x:v>
      </x:c>
      <x:c r="C166" s="10" t="n">
        <x:v>1.2604602202745256</x:v>
      </x:c>
      <x:c r="D166" s="10" t="n">
        <x:v>2.1128922168827944</x:v>
      </x:c>
      <x:c r="E166" s="10" t="n">
        <x:f>D166-C166</x:f>
        <x:v>0.8524319966082687</x:v>
      </x:c>
      <x:c r="F166" s="10" t="n">
        <x:v>0.36749421796952814</x:v>
      </x:c>
      <x:c r="G166" s="10" t="n">
        <x:v>0.42914048460492094</x:v>
      </x:c>
      <x:c r="H166" s="10" t="n">
        <x:f>G166-F166</x:f>
        <x:v>0.0616462666353928</x:v>
      </x:c>
    </x:row>
    <x:row r="167">
      <x:c r="A167" s="2" t="str">
        <x:v>mdh_independent_test_20260927:0012</x:v>
      </x:c>
      <x:c r="B167" s="2" t="str">
        <x:v>mdh_independent_test_20260927:0019</x:v>
      </x:c>
      <x:c r="C167" s="10" t="n">
        <x:v>2.3405922190691677</x:v>
      </x:c>
      <x:c r="D167" s="10" t="n">
        <x:v>2.5926862263303283</x:v>
      </x:c>
      <x:c r="E167" s="10" t="n">
        <x:f>D167-C167</x:f>
        <x:v>0.2520940072611606</x:v>
      </x:c>
      <x:c r="F167" s="10" t="n">
        <x:v>0.25440739477036495</x:v>
      </x:c>
      <x:c r="G167" s="10" t="n">
        <x:v>0.5139718588062183</x:v>
      </x:c>
      <x:c r="H167" s="10" t="n">
        <x:f>G167-F167</x:f>
        <x:v>0.25956446403585337</x:v>
      </x:c>
    </x:row>
    <x:row r="168">
      <x:c r="A168" s="2" t="str">
        <x:v>mdh_independent_test_20260927:0012</x:v>
      </x:c>
      <x:c r="B168" s="2" t="str">
        <x:v>mdh_independent_test_20260927:0020</x:v>
      </x:c>
      <x:c r="C168" s="10" t="n">
        <x:v>1.2149582069753455</x:v>
      </x:c>
      <x:c r="D168" s="10" t="n">
        <x:v>0.8162810007700455</x:v>
      </x:c>
      <x:c r="E168" s="10" t="n">
        <x:f>D168-C168</x:f>
        <x:v>-0.3986772062053</x:v>
      </x:c>
      <x:c r="F168" s="10" t="n">
        <x:v>0.11142657125040777</x:v>
      </x:c>
      <x:c r="G168" s="10" t="n">
        <x:v>0.19444089243372553</x:v>
      </x:c>
      <x:c r="H168" s="10" t="n">
        <x:f>G168-F168</x:f>
        <x:v>0.08301432118331777</x:v>
      </x:c>
    </x:row>
    <x:row r="169">
      <x:c r="A169" s="2" t="str">
        <x:v>mdh_independent_test_20260927:0013</x:v>
      </x:c>
      <x:c r="B169" s="2" t="str">
        <x:v>mdh_independent_test_20260927:0014</x:v>
      </x:c>
      <x:c r="C169" s="10" t="n">
        <x:v>1.58153501466377</x:v>
      </x:c>
      <x:c r="D169" s="10" t="n">
        <x:v>3.131029563047669</x:v>
      </x:c>
      <x:c r="E169" s="10" t="n">
        <x:f>D169-C169</x:f>
        <x:v>1.5494945483838993</x:v>
      </x:c>
      <x:c r="F169" s="10" t="n">
        <x:v>0.4221512916378212</x:v>
      </x:c>
      <x:c r="G169" s="10" t="n">
        <x:v>0.5673784217505136</x:v>
      </x:c>
      <x:c r="H169" s="10" t="n">
        <x:f>G169-F169</x:f>
        <x:v>0.14522713011269234</x:v>
      </x:c>
    </x:row>
    <x:row r="170">
      <x:c r="A170" s="2" t="str">
        <x:v>mdh_independent_test_20260927:0013</x:v>
      </x:c>
      <x:c r="B170" s="2" t="str">
        <x:v>mdh_independent_test_20260927:0015</x:v>
      </x:c>
      <x:c r="C170" s="10" t="n">
        <x:v>1.5394305547021991</x:v>
      </x:c>
      <x:c r="D170" s="10" t="n">
        <x:v>2.3394084456206565</x:v>
      </x:c>
      <x:c r="E170" s="10" t="n">
        <x:f>D170-C170</x:f>
        <x:v>0.7999778909184574</x:v>
      </x:c>
      <x:c r="F170" s="10" t="n">
        <x:v>0.17187874304820708</x:v>
      </x:c>
      <x:c r="G170" s="10" t="n">
        <x:v>0.4603149912629218</x:v>
      </x:c>
      <x:c r="H170" s="10" t="n">
        <x:f>G170-F170</x:f>
        <x:v>0.2884362482147147</x:v>
      </x:c>
    </x:row>
    <x:row r="171">
      <x:c r="A171" s="2" t="str">
        <x:v>mdh_independent_test_20260927:0013</x:v>
      </x:c>
      <x:c r="B171" s="2" t="str">
        <x:v>mdh_independent_test_20260927:0016</x:v>
      </x:c>
      <x:c r="C171" s="10" t="n">
        <x:v>1.8085126690390423</x:v>
      </x:c>
      <x:c r="D171" s="10" t="n">
        <x:v>1.20045194377131</x:v>
      </x:c>
      <x:c r="E171" s="10" t="n">
        <x:f>D171-C171</x:f>
        <x:v>-0.6080607252677324</x:v>
      </x:c>
      <x:c r="F171" s="10" t="n">
        <x:v>0.27407382741804887</x:v>
      </x:c>
      <x:c r="G171" s="10" t="n">
        <x:v>0.22788410444981538</x:v>
      </x:c>
      <x:c r="H171" s="10" t="n">
        <x:f>G171-F171</x:f>
        <x:v>-0.04618972296823348</x:v>
      </x:c>
    </x:row>
    <x:row r="172">
      <x:c r="A172" s="2" t="str">
        <x:v>mdh_independent_test_20260927:0013</x:v>
      </x:c>
      <x:c r="B172" s="2" t="str">
        <x:v>mdh_independent_test_20260927:0017</x:v>
      </x:c>
      <x:c r="C172" s="10" t="n">
        <x:v>2.301679108513606</x:v>
      </x:c>
      <x:c r="D172" s="10" t="n">
        <x:v>1.141551251686432</x:v>
      </x:c>
      <x:c r="E172" s="10" t="n">
        <x:f>D172-C172</x:f>
        <x:v>-1.1601278568271742</x:v>
      </x:c>
      <x:c r="F172" s="10" t="n">
        <x:v>0.3786754196848174</x:v>
      </x:c>
      <x:c r="G172" s="10" t="n">
        <x:v>0.2267510208583771</x:v>
      </x:c>
      <x:c r="H172" s="10" t="n">
        <x:f>G172-F172</x:f>
        <x:v>-0.1519243988264403</x:v>
      </x:c>
    </x:row>
    <x:row r="173">
      <x:c r="A173" s="2" t="str">
        <x:v>mdh_independent_test_20260927:0013</x:v>
      </x:c>
      <x:c r="B173" s="2" t="str">
        <x:v>mdh_independent_test_20260927:0018</x:v>
      </x:c>
      <x:c r="C173" s="10" t="n">
        <x:v>0.851955533301854</x:v>
      </x:c>
      <x:c r="D173" s="10" t="n">
        <x:v>2.813702908235433</x:v>
      </x:c>
      <x:c r="E173" s="10" t="n">
        <x:f>D173-C173</x:f>
        <x:v>1.9617473749335788</x:v>
      </x:c>
      <x:c r="F173" s="10" t="n">
        <x:v>0.4087610439146087</x:v>
      </x:c>
      <x:c r="G173" s="10" t="n">
        <x:v>0.5537903712838775</x:v>
      </x:c>
      <x:c r="H173" s="10" t="n">
        <x:f>G173-F173</x:f>
        <x:v>0.14502932736926882</x:v>
      </x:c>
    </x:row>
    <x:row r="174">
      <x:c r="A174" s="2" t="str">
        <x:v>mdh_independent_test_20260927:0013</x:v>
      </x:c>
      <x:c r="B174" s="2" t="str">
        <x:v>mdh_independent_test_20260927:0019</x:v>
      </x:c>
      <x:c r="C174" s="10" t="n">
        <x:v>1.432930592051597</x:v>
      </x:c>
      <x:c r="D174" s="10" t="n">
        <x:v>2.8345362425933605</x:v>
      </x:c>
      <x:c r="E174" s="10" t="n">
        <x:f>D174-C174</x:f>
        <x:v>1.4016056505417636</x:v>
      </x:c>
      <x:c r="F174" s="10" t="n">
        <x:v>0.14114284785434322</x:v>
      </x:c>
      <x:c r="G174" s="10" t="n">
        <x:v>0.5291228841842387</x:v>
      </x:c>
      <x:c r="H174" s="10" t="n">
        <x:f>G174-F174</x:f>
        <x:v>0.3879800363298955</x:v>
      </x:c>
    </x:row>
    <x:row r="175">
      <x:c r="A175" s="2" t="str">
        <x:v>mdh_independent_test_20260927:0013</x:v>
      </x:c>
      <x:c r="B175" s="2" t="str">
        <x:v>mdh_independent_test_20260927:0020</x:v>
      </x:c>
      <x:c r="C175" s="10" t="n">
        <x:v>0.943036020603922</x:v>
      </x:c>
      <x:c r="D175" s="10" t="n">
        <x:v>1.5110485866101278</x:v>
      </x:c>
      <x:c r="E175" s="10" t="n">
        <x:f>D175-C175</x:f>
        <x:v>0.5680125660062058</x:v>
      </x:c>
      <x:c r="F175" s="10" t="n">
        <x:v>0.08257023754269473</x:v>
      </x:c>
      <x:c r="G175" s="10" t="n">
        <x:v>0.31140836764918683</x:v>
      </x:c>
      <x:c r="H175" s="10" t="n">
        <x:f>G175-F175</x:f>
        <x:v>0.22883813010649212</x:v>
      </x:c>
    </x:row>
    <x:row r="176">
      <x:c r="A176" s="2" t="str">
        <x:v>mdh_independent_test_20260927:0014</x:v>
      </x:c>
      <x:c r="B176" s="2" t="str">
        <x:v>mdh_independent_test_20260927:0015</x:v>
      </x:c>
      <x:c r="C176" s="10" t="n">
        <x:v>2.565809145722868</x:v>
      </x:c>
      <x:c r="D176" s="10" t="n">
        <x:v>2.0592773526076074</x:v>
      </x:c>
      <x:c r="E176" s="10" t="n">
        <x:f>D176-C176</x:f>
        <x:v>-0.5065317931152604</x:v>
      </x:c>
      <x:c r="F176" s="10" t="n">
        <x:v>0.355849705899513</x:v>
      </x:c>
      <x:c r="G176" s="10" t="n">
        <x:v>0.32246318050362127</x:v>
      </x:c>
      <x:c r="H176" s="10" t="n">
        <x:f>G176-F176</x:f>
        <x:v>-0.03338652539589171</x:v>
      </x:c>
    </x:row>
    <x:row r="177">
      <x:c r="A177" s="2" t="str">
        <x:v>mdh_independent_test_20260927:0014</x:v>
      </x:c>
      <x:c r="B177" s="2" t="str">
        <x:v>mdh_independent_test_20260927:0016</x:v>
      </x:c>
      <x:c r="C177" s="10" t="n">
        <x:v>3.5584679163899735</x:v>
      </x:c>
      <x:c r="D177" s="10" t="n">
        <x:v>2.54368484127262</x:v>
      </x:c>
      <x:c r="E177" s="10" t="n">
        <x:f>D177-C177</x:f>
        <x:v>-1.0147830751173537</x:v>
      </x:c>
      <x:c r="F177" s="10" t="n">
        <x:v>0.5470314013833492</x:v>
      </x:c>
      <x:c r="G177" s="10" t="n">
        <x:v>0.40059091449939466</x:v>
      </x:c>
      <x:c r="H177" s="10" t="n">
        <x:f>G177-F177</x:f>
        <x:v>-0.1464404868839545</x:v>
      </x:c>
    </x:row>
    <x:row r="178">
      <x:c r="A178" s="2" t="str">
        <x:v>mdh_independent_test_20260927:0014</x:v>
      </x:c>
      <x:c r="B178" s="2" t="str">
        <x:v>mdh_independent_test_20260927:0017</x:v>
      </x:c>
      <x:c r="C178" s="10" t="n">
        <x:v>3.8744526579754046</x:v>
      </x:c>
      <x:c r="D178" s="10" t="n">
        <x:v>2.229734253498106</x:v>
      </x:c>
      <x:c r="E178" s="10" t="n">
        <x:f>D178-C178</x:f>
        <x:v>-1.6447184044772984</x:v>
      </x:c>
      <x:c r="F178" s="10" t="n">
        <x:v>0.6004304507045229</x:v>
      </x:c>
      <x:c r="G178" s="10" t="n">
        <x:v>0.3843661726816636</x:v>
      </x:c>
      <x:c r="H178" s="10" t="n">
        <x:f>G178-F178</x:f>
        <x:v>-0.21606427802285932</x:v>
      </x:c>
    </x:row>
    <x:row r="179">
      <x:c r="A179" s="2" t="str">
        <x:v>mdh_independent_test_20260927:0014</x:v>
      </x:c>
      <x:c r="B179" s="2" t="str">
        <x:v>mdh_independent_test_20260927:0018</x:v>
      </x:c>
      <x:c r="C179" s="10" t="n">
        <x:v>2.152316995764794</x:v>
      </x:c>
      <x:c r="D179" s="10" t="n">
        <x:v>1.0924007999147427</x:v>
      </x:c>
      <x:c r="E179" s="10" t="n">
        <x:f>D179-C179</x:f>
        <x:v>-1.0599161958500514</x:v>
      </x:c>
      <x:c r="F179" s="10" t="n">
        <x:v>0.30836296564368665</x:v>
      </x:c>
      <x:c r="G179" s="10" t="n">
        <x:v>0.2031271530254644</x:v>
      </x:c>
      <x:c r="H179" s="10" t="n">
        <x:f>G179-F179</x:f>
        <x:v>-0.10523581261822224</x:v>
      </x:c>
    </x:row>
    <x:row r="180">
      <x:c r="A180" s="2" t="str">
        <x:v>mdh_independent_test_20260927:0014</x:v>
      </x:c>
      <x:c r="B180" s="2" t="str">
        <x:v>mdh_independent_test_20260927:0019</x:v>
      </x:c>
      <x:c r="C180" s="10" t="n">
        <x:v>2.8977196074406</x:v>
      </x:c>
      <x:c r="D180" s="10" t="n">
        <x:v>2.4448994811778637</x:v>
      </x:c>
      <x:c r="E180" s="10" t="n">
        <x:f>D180-C180</x:f>
        <x:v>-0.45282012626273627</x:v>
      </x:c>
      <x:c r="F180" s="10" t="n">
        <x:v>0.4215717196050289</x:v>
      </x:c>
      <x:c r="G180" s="10" t="n">
        <x:v>0.4503151830951349</x:v>
      </x:c>
      <x:c r="H180" s="10" t="n">
        <x:f>G180-F180</x:f>
        <x:v>0.02874346349010598</x:v>
      </x:c>
    </x:row>
    <x:row r="181">
      <x:c r="A181" s="2" t="str">
        <x:v>mdh_independent_test_20260927:0014</x:v>
      </x:c>
      <x:c r="B181" s="2" t="str">
        <x:v>mdh_independent_test_20260927:0020</x:v>
      </x:c>
      <x:c r="C181" s="10" t="n">
        <x:v>1.9337056256280065</x:v>
      </x:c>
      <x:c r="D181" s="10" t="n">
        <x:v>1.4332553387553173</x:v>
      </x:c>
      <x:c r="E181" s="10" t="n">
        <x:f>D181-C181</x:f>
        <x:v>-0.5004502868726892</x:v>
      </x:c>
      <x:c r="F181" s="10" t="n">
        <x:v>0.3618206876755078</x:v>
      </x:c>
      <x:c r="G181" s="10" t="n">
        <x:v>0.27213384878910957</x:v>
      </x:c>
      <x:c r="H181" s="10" t="n">
        <x:f>G181-F181</x:f>
        <x:v>-0.08968683888639822</x:v>
      </x:c>
    </x:row>
    <x:row r="182">
      <x:c r="A182" s="2" t="str">
        <x:v>mdh_independent_test_20260927:0015</x:v>
      </x:c>
      <x:c r="B182" s="2" t="str">
        <x:v>mdh_independent_test_20260927:0016</x:v>
      </x:c>
      <x:c r="C182" s="10" t="n">
        <x:v>1.6693641935714614</x:v>
      </x:c>
      <x:c r="D182" s="10" t="n">
        <x:v>1.6050706024130548</x:v>
      </x:c>
      <x:c r="E182" s="10" t="n">
        <x:f>D182-C182</x:f>
        <x:v>-0.0642935911584066</x:v>
      </x:c>
      <x:c r="F182" s="10" t="n">
        <x:v>0.43747512502620806</x:v>
      </x:c>
      <x:c r="G182" s="10" t="n">
        <x:v>0.2471728997209653</x:v>
      </x:c>
      <x:c r="H182" s="10" t="n">
        <x:f>G182-F182</x:f>
        <x:v>-0.19030222530524277</x:v>
      </x:c>
    </x:row>
    <x:row r="183">
      <x:c r="A183" s="2" t="str">
        <x:v>mdh_independent_test_20260927:0015</x:v>
      </x:c>
      <x:c r="B183" s="2" t="str">
        <x:v>mdh_independent_test_20260927:0017</x:v>
      </x:c>
      <x:c r="C183" s="10" t="n">
        <x:v>2.096255917781007</x:v>
      </x:c>
      <x:c r="D183" s="10" t="n">
        <x:v>1.5385179141099201</x:v>
      </x:c>
      <x:c r="E183" s="10" t="n">
        <x:f>D183-C183</x:f>
        <x:v>-0.5577380036710868</x:v>
      </x:c>
      <x:c r="F183" s="10" t="n">
        <x:v>0.5366098906421772</x:v>
      </x:c>
      <x:c r="G183" s="10" t="n">
        <x:v>0.26358519155751803</x:v>
      </x:c>
      <x:c r="H183" s="10" t="n">
        <x:f>G183-F183</x:f>
        <x:v>-0.2730246990846592</x:v>
      </x:c>
    </x:row>
    <x:row r="184">
      <x:c r="A184" s="2" t="str">
        <x:v>mdh_independent_test_20260927:0015</x:v>
      </x:c>
      <x:c r="B184" s="2" t="str">
        <x:v>mdh_independent_test_20260927:0018</x:v>
      </x:c>
      <x:c r="C184" s="10" t="n">
        <x:v>1.6443214547782603</x:v>
      </x:c>
      <x:c r="D184" s="10" t="n">
        <x:v>1.2312089363052323</x:v>
      </x:c>
      <x:c r="E184" s="10" t="n">
        <x:f>D184-C184</x:f>
        <x:v>-0.413112518473028</x:v>
      </x:c>
      <x:c r="F184" s="10" t="n">
        <x:v>0.468704282947674</x:v>
      </x:c>
      <x:c r="G184" s="10" t="n">
        <x:v>0.217248648434042</x:v>
      </x:c>
      <x:c r="H184" s="10" t="n">
        <x:f>G184-F184</x:f>
        <x:v>-0.251455634513632</x:v>
      </x:c>
    </x:row>
    <x:row r="185">
      <x:c r="A185" s="2" t="str">
        <x:v>mdh_independent_test_20260927:0015</x:v>
      </x:c>
      <x:c r="B185" s="2" t="str">
        <x:v>mdh_independent_test_20260927:0019</x:v>
      </x:c>
      <x:c r="C185" s="10" t="n">
        <x:v>0.9179215917870773</x:v>
      </x:c>
      <x:c r="D185" s="10" t="n">
        <x:v>0.6790965548633601</x:v>
      </x:c>
      <x:c r="E185" s="10" t="n">
        <x:f>D185-C185</x:f>
        <x:v>-0.23882503692371726</x:v>
      </x:c>
      <x:c r="F185" s="10" t="n">
        <x:v>0.28688195312622927</x:v>
      </x:c>
      <x:c r="G185" s="10" t="n">
        <x:v>0.15005359604707855</x:v>
      </x:c>
      <x:c r="H185" s="10" t="n">
        <x:f>G185-F185</x:f>
        <x:v>-0.13682835707915073</x:v>
      </x:c>
    </x:row>
    <x:row r="186">
      <x:c r="A186" s="2" t="str">
        <x:v>mdh_independent_test_20260927:0015</x:v>
      </x:c>
      <x:c r="B186" s="2" t="str">
        <x:v>mdh_independent_test_20260927:0020</x:v>
      </x:c>
      <x:c r="C186" s="10" t="n">
        <x:v>0.7499523560768948</x:v>
      </x:c>
      <x:c r="D186" s="10" t="n">
        <x:v>1.4108751371309214</x:v>
      </x:c>
      <x:c r="E186" s="10" t="n">
        <x:f>D186-C186</x:f>
        <x:v>0.6609227810540266</x:v>
      </x:c>
      <x:c r="F186" s="10" t="n">
        <x:v>0.16983512354729027</x:v>
      </x:c>
      <x:c r="G186" s="10" t="n">
        <x:v>0.22027847747479426</x:v>
      </x:c>
      <x:c r="H186" s="10" t="n">
        <x:f>G186-F186</x:f>
        <x:v>0.05044335392750399</x:v>
      </x:c>
    </x:row>
    <x:row r="187">
      <x:c r="A187" s="2" t="str">
        <x:v>mdh_independent_test_20260927:0016</x:v>
      </x:c>
      <x:c r="B187" s="2" t="str">
        <x:v>mdh_independent_test_20260927:0017</x:v>
      </x:c>
      <x:c r="C187" s="10" t="n">
        <x:v>0.46747021327532573</x:v>
      </x:c>
      <x:c r="D187" s="10" t="n">
        <x:v>0.18493282500983887</x:v>
      </x:c>
      <x:c r="E187" s="10" t="n">
        <x:f>D187-C187</x:f>
        <x:v>-0.28253738826548686</x:v>
      </x:c>
      <x:c r="F187" s="10" t="n">
        <x:v>0.12854024220587518</x:v>
      </x:c>
      <x:c r="G187" s="10" t="n">
        <x:v>0.03699205537137843</x:v>
      </x:c>
      <x:c r="H187" s="10" t="n">
        <x:f>G187-F187</x:f>
        <x:v>-0.09154818683449675</x:v>
      </x:c>
    </x:row>
    <x:row r="188">
      <x:c r="A188" s="2" t="str">
        <x:v>mdh_independent_test_20260927:0016</x:v>
      </x:c>
      <x:c r="B188" s="2" t="str">
        <x:v>mdh_independent_test_20260927:0018</x:v>
      </x:c>
      <x:c r="C188" s="10" t="n">
        <x:v>1.4753161802505756</x:v>
      </x:c>
      <x:c r="D188" s="10" t="n">
        <x:v>1.8414587456476623</x:v>
      </x:c>
      <x:c r="E188" s="10" t="n">
        <x:f>D188-C188</x:f>
        <x:v>0.3661425653970867</x:v>
      </x:c>
      <x:c r="F188" s="10" t="n">
        <x:v>0.35385990173148785</x:v>
      </x:c>
      <x:c r="G188" s="10" t="n">
        <x:v>0.3385242658052711</x:v>
      </x:c>
      <x:c r="H188" s="10" t="n">
        <x:f>G188-F188</x:f>
        <x:v>-0.015335635926216729</x:v>
      </x:c>
    </x:row>
    <x:row r="189">
      <x:c r="A189" s="2" t="str">
        <x:v>mdh_independent_test_20260927:0016</x:v>
      </x:c>
      <x:c r="B189" s="2" t="str">
        <x:v>mdh_independent_test_20260927:0019</x:v>
      </x:c>
      <x:c r="C189" s="10" t="n">
        <x:v>0.6267694736790324</x:v>
      </x:c>
      <x:c r="D189" s="10" t="n">
        <x:v>1.6754592122992125</x:v>
      </x:c>
      <x:c r="E189" s="10" t="n">
        <x:f>D189-C189</x:f>
        <x:v>1.0486897386201801</x:v>
      </x:c>
      <x:c r="F189" s="10" t="n">
        <x:v>0.15865421437826294</x:v>
      </x:c>
      <x:c r="G189" s="10" t="n">
        <x:v>0.3185620626910976</x:v>
      </x:c>
      <x:c r="H189" s="10" t="n">
        <x:f>G189-F189</x:f>
        <x:v>0.15990784831283467</x:v>
      </x:c>
    </x:row>
    <x:row r="190">
      <x:c r="A190" s="2" t="str">
        <x:v>mdh_independent_test_20260927:0016</x:v>
      </x:c>
      <x:c r="B190" s="2" t="str">
        <x:v>mdh_independent_test_20260927:0020</x:v>
      </x:c>
      <x:c r="C190" s="10" t="n">
        <x:v>1.5613771320172243</x:v>
      </x:c>
      <x:c r="D190" s="10" t="n">
        <x:v>0.9822213778525851</x:v>
      </x:c>
      <x:c r="E190" s="10" t="n">
        <x:f>D190-C190</x:f>
        <x:v>-0.5791557541646392</x:v>
      </x:c>
      <x:c r="F190" s="10" t="n">
        <x:v>0.2866899401752938</x:v>
      </x:c>
      <x:c r="G190" s="10" t="n">
        <x:v>0.1311169936771623</x:v>
      </x:c>
      <x:c r="H190" s="10" t="n">
        <x:f>G190-F190</x:f>
        <x:v>-0.1555729464981315</x:v>
      </x:c>
    </x:row>
    <x:row r="191">
      <x:c r="A191" s="2" t="str">
        <x:v>mdh_independent_test_20260927:0017</x:v>
      </x:c>
      <x:c r="B191" s="2" t="str">
        <x:v>mdh_independent_test_20260927:0018</x:v>
      </x:c>
      <x:c r="C191" s="10" t="n">
        <x:v>1.778250737556686</x:v>
      </x:c>
      <x:c r="D191" s="10" t="n">
        <x:v>1.8206611712529277</x:v>
      </x:c>
      <x:c r="E191" s="10" t="n">
        <x:f>D191-C191</x:f>
        <x:v>0.042410433696241645</x:v>
      </x:c>
      <x:c r="F191" s="10" t="n">
        <x:v>0.35568429846524297</x:v>
      </x:c>
      <x:c r="G191" s="10" t="n">
        <x:v>0.33068812790510355</x:v>
      </x:c>
      <x:c r="H191" s="10" t="n">
        <x:f>G191-F191</x:f>
        <x:v>-0.02499617056013942</x:v>
      </x:c>
    </x:row>
    <x:row r="192">
      <x:c r="A192" s="2" t="str">
        <x:v>mdh_independent_test_20260927:0017</x:v>
      </x:c>
      <x:c r="B192" s="2" t="str">
        <x:v>mdh_independent_test_20260927:0019</x:v>
      </x:c>
      <x:c r="C192" s="10" t="n">
        <x:v>0.9741620817968097</x:v>
      </x:c>
      <x:c r="D192" s="10" t="n">
        <x:v>1.7309313045161905</x:v>
      </x:c>
      <x:c r="E192" s="10" t="n">
        <x:f>D192-C192</x:f>
        <x:v>0.7567692227193807</x:v>
      </x:c>
      <x:c r="F192" s="10" t="n">
        <x:v>0.26861760636022736</x:v>
      </x:c>
      <x:c r="G192" s="10" t="n">
        <x:v>0.3414421254697766</x:v>
      </x:c>
      <x:c r="H192" s="10" t="n">
        <x:f>G192-F192</x:f>
        <x:v>0.07282451910954924</x:v>
      </x:c>
    </x:row>
    <x:row r="193">
      <x:c r="A193" s="2" t="str">
        <x:v>mdh_independent_test_20260927:0017</x:v>
      </x:c>
      <x:c r="B193" s="2" t="str">
        <x:v>mdh_independent_test_20260927:0020</x:v>
      </x:c>
      <x:c r="C193" s="10" t="n">
        <x:v>1.90945469580984</x:v>
      </x:c>
      <x:c r="D193" s="10" t="n">
        <x:v>0.9151905763198931</x:v>
      </x:c>
      <x:c r="E193" s="10" t="n">
        <x:f>D193-C193</x:f>
        <x:v>-0.9942641194899469</x:v>
      </x:c>
      <x:c r="F193" s="10" t="n">
        <x:v>0.3722815583348846</x:v>
      </x:c>
      <x:c r="G193" s="10" t="n">
        <x:v>0.11353594116977414</x:v>
      </x:c>
      <x:c r="H193" s="10" t="n">
        <x:f>G193-F193</x:f>
        <x:v>-0.25874561716511046</x:v>
      </x:c>
    </x:row>
    <x:row r="194">
      <x:c r="A194" s="2" t="str">
        <x:v>mdh_independent_test_20260927:0018</x:v>
      </x:c>
      <x:c r="B194" s="2" t="str">
        <x:v>mdh_independent_test_20260927:0019</x:v>
      </x:c>
      <x:c r="C194" s="10" t="n">
        <x:v>1.2867531031205823</x:v>
      </x:c>
      <x:c r="D194" s="10" t="n">
        <x:v>1.2490613603044578</x:v>
      </x:c>
      <x:c r="E194" s="10" t="n">
        <x:f>D194-C194</x:f>
        <x:v>-0.03769174281612453</x:v>
      </x:c>
      <x:c r="F194" s="10" t="n">
        <x:v>0.31751399784997153</x:v>
      </x:c>
      <x:c r="G194" s="10" t="n">
        <x:v>0.292945185012457</x:v>
      </x:c>
      <x:c r="H194" s="10" t="n">
        <x:f>G194-F194</x:f>
        <x:v>-0.024568812837514553</x:v>
      </x:c>
    </x:row>
    <x:row r="195">
      <x:c r="A195" s="2" t="str">
        <x:v>mdh_independent_test_20260927:0018</x:v>
      </x:c>
      <x:c r="B195" s="2" t="str">
        <x:v>mdh_independent_test_20260927:0020</x:v>
      </x:c>
      <x:c r="C195" s="10" t="n">
        <x:v>0.8355094566134637</x:v>
      </x:c>
      <x:c r="D195" s="10" t="n">
        <x:v>1.1678066401762364</x:v>
      </x:c>
      <x:c r="E195" s="10" t="n">
        <x:f>D195-C195</x:f>
        <x:v>0.3322971835627727</x:v>
      </x:c>
      <x:c r="F195" s="10" t="n">
        <x:v>0.3525880730967746</x:v>
      </x:c>
      <x:c r="G195" s="10" t="n">
        <x:v>0.2500334465580135</x:v>
      </x:c>
      <x:c r="H195" s="10" t="n">
        <x:f>G195-F195</x:f>
        <x:v>-0.10255462653876107</x:v>
      </x:c>
    </x:row>
    <x:row r="196">
      <x:c r="A196" s="2" t="str">
        <x:v>mdh_independent_test_20260927:0019</x:v>
      </x:c>
      <x:c r="B196" s="2" t="str">
        <x:v>mdh_independent_test_20260927:0020</x:v>
      </x:c>
      <x:c r="C196" s="10" t="n">
        <x:v>1.105146261824852</x:v>
      </x:c>
      <x:c r="D196" s="10" t="n">
        <x:v>1.7927759192105843</x:v>
      </x:c>
      <x:c r="E196" s="10" t="n">
        <x:f>D196-C196</x:f>
        <x:v>0.6876296573857323</x:v>
      </x:c>
      <x:c r="F196" s="10" t="n">
        <x:v>0.15382517151376413</x:v>
      </x:c>
      <x:c r="G196" s="10" t="n">
        <x:v>0.33612250746072336</x:v>
      </x:c>
      <x:c r="H196" s="10" t="n">
        <x:f>G196-F196</x:f>
        <x:v>0.18229733594695924</x:v>
      </x:c>
    </x:row>
    <x:row r="197">
      <x:c r="A197" s="2"/>
      <x:c r="B197" s="2"/>
      <x:c r="C197" s="2"/>
      <x:c r="D197" s="2"/>
      <x:c r="E197" s="2"/>
      <x:c r="F197" s="2"/>
      <x:c r="G197" s="2"/>
      <x:c r="H197" s="2"/>
    </x:row>
  </x:sheetData>
  <x:pageMargins left="0.7" right="0.7" top="0.75" bottom="0.75" header="0.3" footer="0.3"/>
  <x:tableParts count="1">
    <x:tablePart xmlns:r="http://schemas.openxmlformats.org/officeDocument/2006/relationships" r:id="Rb57e74da527b43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7" customHeight="1">
      <x:c r="A2" s="3" t="str">
        <x:v>固定段与相机外参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13" t="str">
        <x:v>固定段与优化范围</x:v>
      </x:c>
      <x:c r="B5" s="13"/>
      <x:c r="C5" s="13"/>
      <x:c r="D5" s="13"/>
      <x:c r="E5" s="13"/>
      <x:c r="F5" s="13"/>
      <x:c r="G5" s="13"/>
      <x:c r="H5" s="13"/>
      <x:c r="I5" s="13"/>
      <x:c r="J5" s="13"/>
    </x:row>
    <x:row r="6" ht="24" customHeight="1">
      <x:c r="A6" s="2" t="str">
        <x:v>Craig-MDH关节：6个旋转关节，每轴α、a、d、θ共24项。</x:v>
      </x:c>
      <x:c r="B6" s="2"/>
      <x:c r="C6" s="2"/>
      <x:c r="D6" s="2"/>
      <x:c r="E6" s="2"/>
      <x:c r="F6" s="2"/>
      <x:c r="G6" s="2"/>
      <x:c r="H6" s="2"/>
      <x:c r="I6" s="2"/>
      <x:c r="J6" s="2"/>
    </x:row>
    <x:row r="7" ht="24" customHeight="1">
      <x:c r="A7" s="2" t="str">
        <x:v>腕部到法兰：固定平移106 mm，未参与拟合。</x:v>
      </x:c>
      <x:c r="B7" s="2"/>
      <x:c r="C7" s="2"/>
      <x:c r="D7" s="2"/>
      <x:c r="E7" s="2"/>
      <x:c r="F7" s="2"/>
      <x:c r="G7" s="2"/>
      <x:c r="H7" s="2"/>
      <x:c r="I7" s="2"/>
      <x:c r="J7" s="2"/>
    </x:row>
    <x:row r="8" ht="24" customHeight="1">
      <x:c r="A8" s="2" t="str">
        <x:v>相机安装：法兰到相机光学系6自由度，修正前后分别对应各自模型。</x:v>
      </x:c>
      <x:c r="B8" s="2"/>
      <x:c r="C8" s="2"/>
      <x:c r="D8" s="2"/>
      <x:c r="E8" s="2"/>
      <x:c r="F8" s="2"/>
      <x:c r="G8" s="2"/>
      <x:c r="H8" s="2"/>
      <x:c r="I8" s="2"/>
      <x:c r="J8" s="2"/>
    </x:row>
    <x:row r="9" ht="24" customHeight="1">
      <x:c r="A9" s="2" t="str">
        <x:v>标定板位姿：6自由度辅助变量，与MDH及相机位姿联合估计。</x:v>
      </x:c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4" customHeight="1">
      <x:c r="A11" s="13" t="str">
        <x:v>法兰到相机变换（4×4；平移列单位m）</x:v>
      </x:c>
      <x:c r="B11" s="13"/>
      <x:c r="C11" s="13"/>
      <x:c r="D11" s="13"/>
      <x:c r="E11" s="13"/>
      <x:c r="F11" s="13"/>
      <x:c r="G11" s="13"/>
      <x:c r="H11" s="13"/>
      <x:c r="I11" s="13"/>
      <x:c r="J11" s="13"/>
    </x:row>
    <x:row r="12">
      <x:c r="A12" s="2" t="str">
        <x:v>修正前</x:v>
      </x:c>
      <x:c r="B12" s="2"/>
      <x:c r="C12" s="2"/>
      <x:c r="D12" s="2"/>
      <x:c r="E12" s="2"/>
      <x:c r="F12" s="2"/>
      <x:c r="G12" s="2" t="str">
        <x:v>修正后</x:v>
      </x:c>
      <x:c r="H12" s="2"/>
      <x:c r="I12" s="2"/>
      <x:c r="J12" s="2"/>
    </x:row>
    <x:row r="13">
      <x:c r="A13" s="11" t="n">
        <x:v>-0.6953411749526919</x:v>
      </x:c>
      <x:c r="B13" s="11" t="n">
        <x:v>-0.7186288986543101</x:v>
      </x:c>
      <x:c r="C13" s="11" t="n">
        <x:v>-0.00855315347127353</x:v>
      </x:c>
      <x:c r="D13" s="11" t="n">
        <x:v>0.05221337985741149</x:v>
      </x:c>
      <x:c r="E13" s="2"/>
      <x:c r="F13" s="2"/>
      <x:c r="G13" s="11" t="n">
        <x:v>-0.6967788491329041</x:v>
      </x:c>
      <x:c r="H13" s="11" t="n">
        <x:v>-0.7170469793613985</x:v>
      </x:c>
      <x:c r="I13" s="11" t="n">
        <x:v>-0.018516608483196414</x:v>
      </x:c>
      <x:c r="J13" s="11" t="n">
        <x:v>0.05350055031457271</x:v>
      </x:c>
    </x:row>
    <x:row r="14">
      <x:c r="A14" s="11" t="n">
        <x:v>0.718674209963809</x:v>
      </x:c>
      <x:c r="B14" s="11" t="n">
        <x:v>-0.6953334515243046</x:v>
      </x:c>
      <x:c r="C14" s="11" t="n">
        <x:v>-0.004332565543930163</x:v>
      </x:c>
      <x:c r="D14" s="11" t="n">
        <x:v>0.03596793145640077</x:v>
      </x:c>
      <x:c r="E14" s="2"/>
      <x:c r="F14" s="2"/>
      <x:c r="G14" s="11" t="n">
        <x:v>0.7172447505085618</x:v>
      </x:c>
      <x:c r="H14" s="11" t="n">
        <x:v>-0.6967834821376676</x:v>
      </x:c>
      <x:c r="I14" s="11" t="n">
        <x:v>-0.007262705282308161</x:v>
      </x:c>
      <x:c r="J14" s="11" t="n">
        <x:v>0.03545315053690003</x:v>
      </x:c>
    </x:row>
    <x:row r="15">
      <x:c r="A15" s="11" t="n">
        <x:v>-0.0028337869194155654</x:v>
      </x:c>
      <x:c r="B15" s="11" t="n">
        <x:v>-0.009159542029542663</x:v>
      </x:c>
      <x:c r="C15" s="11" t="n">
        <x:v>0.999954035164369</x:v>
      </x:c>
      <x:c r="D15" s="11" t="n">
        <x:v>0.12302459655853713</x:v>
      </x:c>
      <x:c r="E15" s="2"/>
      <x:c r="F15" s="2"/>
      <x:c r="G15" s="11" t="n">
        <x:v>-0.007694366051630333</x:v>
      </x:c>
      <x:c r="H15" s="11" t="n">
        <x:v>-0.01834143965999307</x:v>
      </x:c>
      <x:c r="I15" s="11" t="n">
        <x:v>0.9998021745936854</x:v>
      </x:c>
      <x:c r="J15" s="11" t="n">
        <x:v>0.12286883126257077</x:v>
      </x:c>
    </x:row>
    <x:row r="16">
      <x:c r="A16" s="11" t="n">
        <x:v>0</x:v>
      </x:c>
      <x:c r="B16" s="11" t="n">
        <x:v>0</x:v>
      </x:c>
      <x:c r="C16" s="11" t="n">
        <x:v>0</x:v>
      </x:c>
      <x:c r="D16" s="11" t="n">
        <x:v>1</x:v>
      </x:c>
      <x:c r="E16" s="2"/>
      <x:c r="F16" s="2"/>
      <x:c r="G16" s="11" t="n">
        <x:v>0</x:v>
      </x:c>
      <x:c r="H16" s="11" t="n">
        <x:v>0</x:v>
      </x:c>
      <x:c r="I16" s="11" t="n">
        <x:v>0</x:v>
      </x:c>
      <x:c r="J16" s="11" t="n">
        <x:v>1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4" customHeight="1">
      <x:c r="A19" s="13" t="str">
        <x:v>固定板世界位姿（4×4；平移列单位m）</x:v>
      </x:c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2" t="str">
        <x:v>修正前</x:v>
      </x:c>
      <x:c r="B20" s="2"/>
      <x:c r="C20" s="2"/>
      <x:c r="D20" s="2"/>
      <x:c r="E20" s="2"/>
      <x:c r="F20" s="2"/>
      <x:c r="G20" s="2" t="str">
        <x:v>修正后</x:v>
      </x:c>
      <x:c r="H20" s="2"/>
      <x:c r="I20" s="2"/>
      <x:c r="J20" s="2"/>
    </x:row>
    <x:row r="21">
      <x:c r="A21" s="11" t="n">
        <x:v>-0.6433661898630708</x:v>
      </x:c>
      <x:c r="B21" s="11" t="n">
        <x:v>0.765244929655288</x:v>
      </x:c>
      <x:c r="C21" s="11" t="n">
        <x:v>-0.021912174194961262</x:v>
      </x:c>
      <x:c r="D21" s="11" t="n">
        <x:v>-0.34710599993836594</x:v>
      </x:c>
      <x:c r="E21" s="2"/>
      <x:c r="F21" s="2"/>
      <x:c r="G21" s="11" t="n">
        <x:v>-0.64277689031517</x:v>
      </x:c>
      <x:c r="H21" s="11" t="n">
        <x:v>0.7657870702939441</x:v>
      </x:c>
      <x:c r="I21" s="11" t="n">
        <x:v>-0.020199808102545673</x:v>
      </x:c>
      <x:c r="J21" s="11" t="n">
        <x:v>-0.3448947318160126</x:v>
      </x:c>
    </x:row>
    <x:row r="22">
      <x:c r="A22" s="11" t="n">
        <x:v>0.7655334187474473</x:v>
      </x:c>
      <x:c r="B22" s="11" t="n">
        <x:v>0.642849381963107</x:v>
      </x:c>
      <x:c r="C22" s="11" t="n">
        <x:v>-0.02651899112897388</x:v>
      </x:c>
      <x:c r="D22" s="11" t="n">
        <x:v>-0.47153371583229586</x:v>
      </x:c>
      <x:c r="E22" s="2"/>
      <x:c r="F22" s="2"/>
      <x:c r="G22" s="11" t="n">
        <x:v>0.766049243682853</x:v>
      </x:c>
      <x:c r="H22" s="11" t="n">
        <x:v>0.642637123793234</x:v>
      </x:c>
      <x:c r="I22" s="11" t="n">
        <x:v>-0.01364123805563177</x:v>
      </x:c>
      <x:c r="J22" s="11" t="n">
        <x:v>-0.4682156123406762</x:v>
      </x:c>
    </x:row>
    <x:row r="23">
      <x:c r="A23" s="11" t="n">
        <x:v>-0.006207295862322024</x:v>
      </x:c>
      <x:c r="B23" s="11" t="n">
        <x:v>-0.033835923905318754</x:v>
      </x:c>
      <x:c r="C23" s="11" t="n">
        <x:v>-0.9994081247075955</x:v>
      </x:c>
      <x:c r="D23" s="11" t="n">
        <x:v>0.04402922309828785</x:v>
      </x:c>
      <x:c r="E23" s="2"/>
      <x:c r="F23" s="2"/>
      <x:c r="G23" s="11" t="n">
        <x:v>0.002534862854390702</x:v>
      </x:c>
      <x:c r="H23" s="11" t="n">
        <x:v>-0.0242423202969418</x:v>
      </x:c>
      <x:c r="I23" s="11" t="n">
        <x:v>-0.9997028980536827</x:v>
      </x:c>
      <x:c r="J23" s="11" t="n">
        <x:v>0.04459081873905222</x:v>
      </x:c>
    </x:row>
    <x:row r="24">
      <x:c r="A24" s="11" t="n">
        <x:v>0</x:v>
      </x:c>
      <x:c r="B24" s="11" t="n">
        <x:v>0</x:v>
      </x:c>
      <x:c r="C24" s="11" t="n">
        <x:v>0</x:v>
      </x:c>
      <x:c r="D24" s="11" t="n">
        <x:v>1</x:v>
      </x:c>
      <x:c r="E24" s="2"/>
      <x:c r="F24" s="2"/>
      <x:c r="G24" s="11" t="n">
        <x:v>0</x:v>
      </x:c>
      <x:c r="H24" s="11" t="n">
        <x:v>0</x:v>
      </x:c>
      <x:c r="I24" s="11" t="n">
        <x:v>0</x:v>
      </x:c>
      <x:c r="J24" s="11" t="n">
        <x:v>1</x:v>
      </x:c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5" hidden="0" customWidth="1"/>
    <x:col min="3" max="3" width="68" hidden="0" customWidth="1"/>
  </x:cols>
  <x:sheetData>
    <x:row r="1">
      <x:c r="A1" s="2"/>
      <x:c r="B1" s="2"/>
      <x:c r="C1" s="2"/>
    </x:row>
    <x:row r="2" ht="27" customHeight="1">
      <x:c r="A2" s="3" t="str">
        <x:v>数据来源与实验口径</x:v>
      </x:c>
      <x:c r="B2" s="2"/>
      <x:c r="C2" s="2"/>
    </x:row>
    <x:row r="3">
      <x:c r="A3" s="4"/>
      <x:c r="B3" s="4"/>
      <x:c r="C3" s="4"/>
    </x:row>
    <x:row r="4">
      <x:c r="A4" s="2"/>
      <x:c r="B4" s="2"/>
      <x:c r="C4" s="2"/>
    </x:row>
    <x:row r="5" ht="24" customHeight="1">
      <x:c r="A5" s="13" t="str">
        <x:v>输入文件与SHA-256</x:v>
      </x:c>
      <x:c r="B5" s="13"/>
      <x:c r="C5" s="13"/>
    </x:row>
    <x:row r="6" ht="30" customHeight="1">
      <x:c r="A6" s="9" t="str">
        <x:v>数据</x:v>
      </x:c>
      <x:c r="B6" s="9" t="str">
        <x:v>相对路径或结果文件</x:v>
      </x:c>
      <x:c r="C6" s="9" t="str">
        <x:v>SHA-256</x:v>
      </x:c>
    </x:row>
    <x:row r="7">
      <x:c r="A7" s="2" t="str">
        <x:v>拟合来源：trial01</x:v>
      </x:c>
      <x:c r="B7" s="2" t="str">
        <x:v>calib_data_bz/trial01/samples.json</x:v>
      </x:c>
      <x:c r="C7" s="2" t="str">
        <x:v>a095c059f9f338050f00cba71d13525ca42fd9cd051c5738923a1d8f427fc114</x:v>
      </x:c>
    </x:row>
    <x:row r="8">
      <x:c r="A8" s="2" t="str">
        <x:v>拟合来源：trial02_j6</x:v>
      </x:c>
      <x:c r="B8" s="2" t="str">
        <x:v>calib_data_bz/trial02_j6/samples.json</x:v>
      </x:c>
      <x:c r="C8" s="2" t="str">
        <x:v>619dc54f0e0bdf66f57eb867d65c92e5a998a454ab27662801899a368ac63e8e</x:v>
      </x:c>
    </x:row>
    <x:row r="9">
      <x:c r="A9" s="2" t="str">
        <x:v>拟合来源：trial02_j6_02</x:v>
      </x:c>
      <x:c r="B9" s="2" t="str">
        <x:v>calib_data_bz/trial02_j6_02/samples.json</x:v>
      </x:c>
      <x:c r="C9" s="2" t="str">
        <x:v>8244b9bfdcb3dc77b75637048ecaaf994e77318c406f6aeb869bc2b9faa13923</x:v>
      </x:c>
    </x:row>
    <x:row r="10">
      <x:c r="A10" s="2" t="str">
        <x:v>合并记录</x:v>
      </x:c>
      <x:c r="B10" s="2" t="str">
        <x:v>calib_data_bz/combined_trial01_j6_51/samples.json</x:v>
      </x:c>
      <x:c r="C10" s="2" t="str">
        <x:v>71d4fa8654715308ce8dd420568d49af593bb5a678a2d129fa336630f240a269</x:v>
      </x:c>
    </x:row>
    <x:row r="11">
      <x:c r="A11" s="2" t="str">
        <x:v>原始参数表</x:v>
      </x:c>
      <x:c r="B11" s="2" t="str">
        <x:v>calib_data_bz/fairino16_v6_DH参数.xlsx</x:v>
      </x:c>
      <x:c r="C11" s="2" t="str">
        <x:v>fde8000f4f3d79d75f2aa67aa542fc223d7d1ffefbea85c2d7ba1ec6ec0e1342</x:v>
      </x:c>
    </x:row>
    <x:row r="12">
      <x:c r="A12" s="2" t="str">
        <x:v>原始参数JSON</x:v>
      </x:c>
      <x:c r="B12" s="2" t="str">
        <x:v>src/2025_12/fr16_v6_mdh_nominal.json</x:v>
      </x:c>
      <x:c r="C12" s="2" t="str">
        <x:v>197bba7ab5f1e82b02fc7690289f9dd6f81a6780b5bc66b9b294c83a0750b453</x:v>
      </x:c>
    </x:row>
    <x:row r="13">
      <x:c r="A13" s="2" t="str">
        <x:v>相机原始安装矩阵</x:v>
      </x:c>
      <x:c r="B13" s="2" t="str">
        <x:v>calib_data_bz/T_cam_to_flange.npy</x:v>
      </x:c>
      <x:c r="C13" s="2" t="str">
        <x:v>357e4942aa1d7b081aa6592c719df1a558f07d61d51fb62db5f983b6e911af81</x:v>
      </x:c>
    </x:row>
    <x:row r="14">
      <x:c r="A14" s="2" t="str">
        <x:v>验证会话</x:v>
      </x:c>
      <x:c r="B14" s="2" t="str">
        <x:v>calib_data_bz/mdh_independent_test_20260927/samples.json</x:v>
      </x:c>
      <x:c r="C14" s="2" t="str">
        <x:v>1d5a9091c1b02ea9b5e1da815724fb4d11a71d0aac6d0785dc51a9839d6f161f</x:v>
      </x:c>
    </x:row>
    <x:row r="15">
      <x:c r="A15" s="2" t="str">
        <x:v>本工作簿计算来源</x:v>
      </x:c>
      <x:c r="B15" s="2" t="str">
        <x:v>mdh_result.json（2026-10-08离线结果）</x:v>
      </x:c>
      <x:c r="C15" s="2" t="str">
        <x:v>B9F809F3394A8C28183E425B08C9EB9C6B39738E255C7BC68970F16D9F5E34A4</x:v>
      </x:c>
    </x:row>
    <x:row r="16">
      <x:c r="A16" s="2"/>
      <x:c r="B16" s="2"/>
      <x:c r="C16" s="2"/>
    </x:row>
    <x:row r="17">
      <x:c r="A17" s="2"/>
      <x:c r="B17" s="2"/>
      <x:c r="C17" s="2"/>
    </x:row>
    <x:row r="18" ht="24" customHeight="1">
      <x:c r="A18" s="13" t="str">
        <x:v>实验口径与限制</x:v>
      </x:c>
      <x:c r="B18" s="13"/>
      <x:c r="C18" s="13"/>
    </x:row>
    <x:row r="19" ht="22" customHeight="1">
      <x:c r="A19" s="2" t="str">
        <x:v>拟合组</x:v>
      </x:c>
      <x:c r="B19" s="2" t="str">
        <x:v>旧训练30组与稳定J6姿态5组，共35组。</x:v>
      </x:c>
      <x:c r="C19" s="2"/>
    </x:row>
    <x:row r="20" ht="22" customHeight="1">
      <x:c r="A20" s="2" t="str">
        <x:v>排除样本</x:v>
      </x:c>
      <x:c r="B20" s="2" t="str">
        <x:v>trial02_j6_02:0005；采集期间标定板旋转波动约1.994°。</x:v>
      </x:c>
      <x:c r="C20" s="2"/>
    </x:row>
    <x:row r="21" ht="22" customHeight="1">
      <x:c r="A21" s="2" t="str">
        <x:v>独立会话</x:v>
      </x:c>
      <x:c r="B21" s="2" t="str">
        <x:v>20组；其中15组与历史姿态至少相差5°。</x:v>
      </x:c>
      <x:c r="C21" s="2"/>
    </x:row>
    <x:row r="22" ht="22" customHeight="1">
      <x:c r="A22" s="2" t="str">
        <x:v>像素目标函数</x:v>
      </x:c>
      <x:c r="B22" s="2" t="str">
        <x:v>88角点重投影残差；10项MDH加软约束，前后模型各有自己的相机与标定板位姿。</x:v>
      </x:c>
      <x:c r="C22" s="2"/>
    </x:row>
    <x:row r="23" ht="22" customHeight="1">
      <x:c r="A23" s="2" t="str">
        <x:v>RMSE定义</x:v>
      </x:c>
      <x:c r="B23" s="2" t="str">
        <x:v>对各样本或姿态对的误差平方取平均，再开平方。</x:v>
      </x:c>
      <x:c r="C23" s="2"/>
    </x:row>
    <x:row r="24" ht="22" customHeight="1">
      <x:c r="A24" s="2" t="str">
        <x:v>相对运动</x:v>
      </x:c>
      <x:c r="B24" s="2" t="str">
        <x:v>基于20组形成的190个姿态对；固定板世界位姿在成对比较中相消。</x:v>
      </x:c>
      <x:c r="C24" s="2"/>
    </x:row>
    <x:row r="25" ht="22" customHeight="1">
      <x:c r="A25" s="2" t="str">
        <x:v>验证限制</x:v>
      </x:c>
      <x:c r="B25" s="2" t="str">
        <x:v>没有独立世界到法兰真值；20组会话已有历史评价，不是未来调参的全新盲测。</x:v>
      </x:c>
      <x:c r="C25" s="2"/>
    </x:row>
    <x:row r="26" ht="22" customHeight="1">
      <x:c r="A26" s="2" t="str">
        <x:v>额外六项</x:v>
      </x:c>
      <x:c r="B26" s="2" t="str">
        <x:v>16项方案为单独敏感性分析，未作为本工作簿的“修正后”主模型。</x:v>
      </x:c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  <x:row r="31">
      <x:c r="A31" s="2"/>
      <x:c r="B31" s="2"/>
      <x:c r="C31" s="2"/>
    </x:row>
  </x:sheetData>
  <x:pageMargins left="0.7" right="0.7" top="0.75" bottom="0.75" header="0.3" footer="0.3"/>
</x:worksheet>
</file>