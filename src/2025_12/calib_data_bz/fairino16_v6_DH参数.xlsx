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7ce2bdaa2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H参数" sheetId="1" r:id="R6ac4380bf7b34a3a"/>
    <x:sheet xmlns:r="http://schemas.openxmlformats.org/officeDocument/2006/relationships" name="URDF明细" sheetId="2" r:id="R385795bf3200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7F6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</x:fills>
  <x:borders count="20">
    <x:border/>
    <x:border>
      <x:bottom style="medium">
        <x:color rgb="FF17365D"/>
      </x:bottom>
    </x:border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AAB7C4"/>
      </x:bottom>
    </x:border>
    <x:border>
      <x:top style="thin">
        <x:color rgb="FFAAB7C4"/>
      </x:top>
      <x:bottom style="medium">
        <x:color rgb="FF17365D"/>
      </x:bottom>
    </x:border>
    <x:border>
      <x:left style="thin">
        <x:color rgb="FFAAB7C4"/>
      </x:left>
      <x:top style="thin">
        <x:color rgb="FFAAB7C4"/>
      </x:top>
      <x:bottom style="thin">
        <x:color rgb="FFDDE3EA"/>
      </x:bottom>
    </x:border>
    <x:border>
      <x:top style="thin">
        <x:color rgb="FFAAB7C4"/>
      </x:top>
      <x:bottom style="thin">
        <x:color rgb="FFDDE3EA"/>
      </x:bottom>
    </x:border>
    <x:border>
      <x:right style="thin">
        <x:color rgb="FFAAB7C4"/>
      </x:right>
      <x:top style="thin">
        <x:color rgb="FFAAB7C4"/>
      </x:top>
      <x:bottom style="thin">
        <x:color rgb="FFDDE3EA"/>
      </x:bottom>
    </x:border>
    <x:border>
      <x:left style="thin">
        <x:color rgb="FFAAB7C4"/>
      </x:left>
      <x:top style="thin">
        <x:color rgb="FFDDE3EA"/>
      </x:top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  <x:border>
      <x:right style="thin">
        <x:color rgb="FFAAB7C4"/>
      </x:right>
      <x:top style="thin">
        <x:color rgb="FFDDE3EA"/>
      </x:top>
      <x:bottom style="thin">
        <x:color rgb="FFDDE3EA"/>
      </x:bottom>
    </x:border>
    <x:border>
      <x:left style="thin">
        <x:color rgb="FFAAB7C4"/>
      </x:left>
      <x:top style="thin">
        <x:color rgb="FFDDE3EA"/>
      </x:top>
      <x:bottom style="thin">
        <x:color rgb="FFAAB7C4"/>
      </x:bottom>
    </x:border>
    <x:border>
      <x:top style="thin">
        <x:color rgb="FFDDE3EA"/>
      </x:top>
      <x:bottom style="thin">
        <x:color rgb="FFAAB7C4"/>
      </x:bottom>
    </x:border>
    <x:border>
      <x:right style="thin">
        <x:color rgb="FFAAB7C4"/>
      </x:right>
      <x:top style="thin">
        <x:color rgb="FFDDE3EA"/>
      </x:top>
      <x:bottom style="thin">
        <x:color rgb="FFAAB7C4"/>
      </x:bottom>
    </x:border>
    <x:border>
      <x:bottom style="thin">
        <x:color rgb="FFDDE3EA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/>
    </x:xf>
    <x:xf numFmtId="200" fontId="1" fillId="0" borderId="8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0" fontId="1" fillId="0" borderId="9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5" fillId="6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5" fillId="6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horizontal="center" vertical="top"/>
    </x:xf>
    <x:xf numFmtId="0" fontId="5" fillId="5" borderId="11" xfId="0" applyNumberFormat="1" applyFont="1" applyFill="1" applyBorder="1" applyAlignment="1">
      <x:alignment horizontal="center"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/>
    </x:xf>
    <x:xf numFmtId="0" fontId="5" fillId="6" borderId="13" xfId="0" applyNumberFormat="1" applyFont="1" applyFill="1" applyBorder="1" applyAlignment="1">
      <x:alignment vertical="top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201" fontId="1" fillId="0" borderId="8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center" vertical="center"/>
    </x:xf>
    <x:xf numFmtId="201" fontId="1" fillId="0" borderId="9" xfId="0" applyNumberFormat="1" applyFont="1" applyFill="1" applyBorder="1" applyAlignment="1">
      <x:alignment horizontal="center" vertical="center"/>
    </x:xf>
    <x:xf numFmtId="202" fontId="1" fillId="0" borderId="8" xfId="0" applyNumberFormat="1" applyFont="1" applyFill="1" applyBorder="1" applyAlignment="1">
      <x:alignment horizontal="center" vertical="center"/>
    </x:xf>
    <x:xf numFmtId="202" fontId="1" fillId="0" borderId="3" xfId="0" applyNumberFormat="1" applyFont="1" applyFill="1" applyBorder="1" applyAlignment="1">
      <x:alignment horizontal="center" vertical="center"/>
    </x:xf>
    <x:xf numFmtId="202" fontId="1" fillId="0" borderId="9" xfId="0" applyNumberFormat="1" applyFont="1" applyFill="1" applyBorder="1" applyAlignment="1">
      <x:alignment horizontal="center"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top"/>
    </x:xf>
    <x:xf numFmtId="0" fontId="1" fillId="0" borderId="14" xfId="0" applyNumberFormat="1" applyFont="1" applyFill="1" applyBorder="1" applyAlignment="1">
      <x:alignment vertical="top"/>
    </x:xf>
    <x:xf numFmtId="0" fontId="1" fillId="0" borderId="17" xfId="0" applyNumberFormat="1" applyFont="1" applyFill="1" applyBorder="1" applyAlignment="1">
      <x:alignment vertical="top"/>
    </x:xf>
    <x:xf numFmtId="0" fontId="1" fillId="7" borderId="14" xfId="0" applyNumberFormat="1" applyFont="1" applyFill="1" applyBorder="1" applyAlignment="1">
      <x:alignment vertical="top"/>
    </x:xf>
    <x:xf numFmtId="0" fontId="1" fillId="7" borderId="17" xfId="0" applyNumberFormat="1" applyFont="1" applyFill="1" applyBorder="1" applyAlignment="1">
      <x:alignment vertical="top"/>
    </x:xf>
    <x:xf numFmtId="0" fontId="6" fillId="7" borderId="14" xfId="0" applyNumberFormat="1" applyFont="1" applyFill="1" applyBorder="1" applyAlignment="1">
      <x:alignment vertical="top"/>
    </x:xf>
    <x:xf numFmtId="0" fontId="6" fillId="7" borderId="17" xfId="0" applyNumberFormat="1" applyFont="1" applyFill="1" applyBorder="1" applyAlignment="1">
      <x:alignment vertical="top"/>
    </x:xf>
    <x:xf numFmtId="0" fontId="6" fillId="7" borderId="14" xfId="0" applyNumberFormat="1" applyFont="1" applyFill="1" applyBorder="1" applyAlignment="1">
      <x:alignment horizontal="center" vertical="top"/>
    </x:xf>
    <x:xf numFmtId="0" fontId="6" fillId="7" borderId="17" xfId="0" applyNumberFormat="1" applyFont="1" applyFill="1" applyBorder="1" applyAlignment="1">
      <x:alignment horizontal="center" vertical="top"/>
    </x:xf>
    <x:xf numFmtId="0" fontId="1" fillId="0" borderId="19" xfId="0" applyNumberFormat="1" applyFont="1" applyFill="1" applyBorder="1" applyAlignment="1">
      <x:alignment horizontal="center" vertical="top"/>
    </x:xf>
    <x:xf numFmtId="0" fontId="1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b507a2c4d47a9" /><Relationship Type="http://schemas.openxmlformats.org/officeDocument/2006/relationships/theme" Target="/xl/theme/theme1.xml" Id="R48b1897478694b23" /><Relationship Type="http://schemas.openxmlformats.org/officeDocument/2006/relationships/sharedStrings" Target="/xl/sharedStrings.xml" Id="Rb82b4bbc25ac4ba7" /><Relationship Type="http://schemas.openxmlformats.org/officeDocument/2006/relationships/worksheet" Target="/xl/worksheets/sheet1.xml" Id="R6ac4380bf7b34a3a" /><Relationship Type="http://schemas.openxmlformats.org/officeDocument/2006/relationships/worksheet" Target="/xl/worksheets/sheet2.xml" Id="R385795bf32004a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4" t="str">
        <x:v>Fairino16 V6 机械臂 DH 参数表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6" t="str">
        <x:v>来源：src/fairino_description/urdf/fairino16_v6.urdf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8" t="str">
        <x:v>采用 Craig 改进 DH： ᶦ⁻¹Tᵢ = Rx(αᵢ₋₁) · Tx(aᵢ₋₁) · Rz(qᵢ + θᵢ偏置) · Tz(dᵢ)</x:v>
      </x:c>
      <x:c r="B4" s="9"/>
      <x:c r="C4" s="9"/>
      <x:c r="D4" s="9"/>
      <x:c r="E4" s="9"/>
      <x:c r="F4" s="9"/>
      <x:c r="G4" s="9"/>
      <x:c r="H4" s="9"/>
      <x:c r="I4" s="10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16" t="str">
        <x:v>Joint</x:v>
      </x:c>
      <x:c r="B6" s="17" t="str">
        <x:v>αᵢ₋₁ / °</x:v>
      </x:c>
      <x:c r="C6" s="17" t="str">
        <x:v>aᵢ₋₁ / mm</x:v>
      </x:c>
      <x:c r="D6" s="17" t="str">
        <x:v>dᵢ / mm</x:v>
      </x:c>
      <x:c r="E6" s="17" t="str">
        <x:v>θᵢ 偏置 / °</x:v>
      </x:c>
      <x:c r="F6" s="17" t="str">
        <x:v>关节变量</x:v>
      </x:c>
      <x:c r="G6" s="17" t="str">
        <x:v>URDF joint</x:v>
      </x:c>
      <x:c r="H6" s="17" t="str">
        <x:v>类别</x:v>
      </x:c>
      <x:c r="I6" s="18" t="str">
        <x:v>URDF 参数来源</x:v>
      </x:c>
    </x:row>
    <x:row r="7" ht="24" customHeight="1">
      <x:c r="A7" s="22" t="str">
        <x:v>Joint 1</x:v>
      </x:c>
      <x:c r="B7" s="28" t="n">
        <x:v>0</x:v>
      </x:c>
      <x:c r="C7" s="28" t="n">
        <x:v>0</x:v>
      </x:c>
      <x:c r="D7" s="28" t="n">
        <x:v>180</x:v>
      </x:c>
      <x:c r="E7" s="28" t="n">
        <x:v>0</x:v>
      </x:c>
      <x:c r="F7" s="22" t="str">
        <x:v>q₁</x:v>
      </x:c>
      <x:c r="G7" s="22" t="str">
        <x:v>j1</x:v>
      </x:c>
      <x:c r="H7" s="22" t="str">
        <x:v>旋转轴</x:v>
      </x:c>
      <x:c r="I7" s="25" t="str">
        <x:v>j2: z=0.18 m；与 j1 组合为 d₁</x:v>
      </x:c>
    </x:row>
    <x:row r="8" ht="24" customHeight="1">
      <x:c r="A8" s="23" t="str">
        <x:v>Joint 2</x:v>
      </x:c>
      <x:c r="B8" s="29" t="n">
        <x:v>90</x:v>
      </x:c>
      <x:c r="C8" s="29" t="n">
        <x:v>0</x:v>
      </x:c>
      <x:c r="D8" s="29" t="n">
        <x:v>0</x:v>
      </x:c>
      <x:c r="E8" s="29" t="n">
        <x:v>0</x:v>
      </x:c>
      <x:c r="F8" s="23" t="str">
        <x:v>q₂</x:v>
      </x:c>
      <x:c r="G8" s="23" t="str">
        <x:v>j2</x:v>
      </x:c>
      <x:c r="H8" s="23" t="str">
        <x:v>旋转轴</x:v>
      </x:c>
      <x:c r="I8" s="26" t="str">
        <x:v>j2: roll=+1.5708 rad ≈ +90°</x:v>
      </x:c>
    </x:row>
    <x:row r="9" ht="24" customHeight="1">
      <x:c r="A9" s="23" t="str">
        <x:v>Joint 3</x:v>
      </x:c>
      <x:c r="B9" s="29" t="n">
        <x:v>0</x:v>
      </x:c>
      <x:c r="C9" s="29" t="n">
        <x:v>-520</x:v>
      </x:c>
      <x:c r="D9" s="29" t="n">
        <x:v>0</x:v>
      </x:c>
      <x:c r="E9" s="29" t="n">
        <x:v>0</x:v>
      </x:c>
      <x:c r="F9" s="23" t="str">
        <x:v>q₃</x:v>
      </x:c>
      <x:c r="G9" s="23" t="str">
        <x:v>j3</x:v>
      </x:c>
      <x:c r="H9" s="23" t="str">
        <x:v>旋转轴</x:v>
      </x:c>
      <x:c r="I9" s="26" t="str">
        <x:v>j3: x=-0.52 m</x:v>
      </x:c>
    </x:row>
    <x:row r="10" ht="24" customHeight="1">
      <x:c r="A10" s="23" t="str">
        <x:v>Joint 4</x:v>
      </x:c>
      <x:c r="B10" s="29" t="n">
        <x:v>0</x:v>
      </x:c>
      <x:c r="C10" s="29" t="n">
        <x:v>-400</x:v>
      </x:c>
      <x:c r="D10" s="29" t="n">
        <x:v>159</x:v>
      </x:c>
      <x:c r="E10" s="29" t="n">
        <x:v>0</x:v>
      </x:c>
      <x:c r="F10" s="23" t="str">
        <x:v>q₄</x:v>
      </x:c>
      <x:c r="G10" s="23" t="str">
        <x:v>j4</x:v>
      </x:c>
      <x:c r="H10" s="23" t="str">
        <x:v>旋转轴</x:v>
      </x:c>
      <x:c r="I10" s="26" t="str">
        <x:v>j4: x=-0.4 m；j5: z=0.159 m</x:v>
      </x:c>
    </x:row>
    <x:row r="11" ht="24" customHeight="1">
      <x:c r="A11" s="23" t="str">
        <x:v>Joint 5</x:v>
      </x:c>
      <x:c r="B11" s="29" t="n">
        <x:v>90</x:v>
      </x:c>
      <x:c r="C11" s="29" t="n">
        <x:v>0</x:v>
      </x:c>
      <x:c r="D11" s="29" t="n">
        <x:v>114</x:v>
      </x:c>
      <x:c r="E11" s="29" t="n">
        <x:v>0</x:v>
      </x:c>
      <x:c r="F11" s="23" t="str">
        <x:v>q₅</x:v>
      </x:c>
      <x:c r="G11" s="23" t="str">
        <x:v>j5</x:v>
      </x:c>
      <x:c r="H11" s="23" t="str">
        <x:v>旋转轴</x:v>
      </x:c>
      <x:c r="I11" s="26" t="str">
        <x:v>j5: roll=+1.5708；j6: z=0.114 m</x:v>
      </x:c>
    </x:row>
    <x:row r="12" ht="24" customHeight="1">
      <x:c r="A12" s="24" t="str">
        <x:v>Joint 6</x:v>
      </x:c>
      <x:c r="B12" s="30" t="n">
        <x:v>-90</x:v>
      </x:c>
      <x:c r="C12" s="30" t="n">
        <x:v>0</x:v>
      </x:c>
      <x:c r="D12" s="30" t="n">
        <x:v>0</x:v>
      </x:c>
      <x:c r="E12" s="30" t="n">
        <x:v>0</x:v>
      </x:c>
      <x:c r="F12" s="24" t="str">
        <x:v>q₆</x:v>
      </x:c>
      <x:c r="G12" s="24" t="str">
        <x:v>j6</x:v>
      </x:c>
      <x:c r="H12" s="24" t="str">
        <x:v>旋转轴</x:v>
      </x:c>
      <x:c r="I12" s="27" t="str">
        <x:v>j6: roll=-1.5708；URDF 无末端固定偏移</x:v>
      </x:c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33" t="str">
        <x:v>提取说明与模型边界</x:v>
      </x:c>
      <x:c r="B15" s="34"/>
      <x:c r="C15" s="34"/>
      <x:c r="D15" s="34"/>
      <x:c r="E15" s="34"/>
      <x:c r="F15" s="34"/>
      <x:c r="G15" s="34"/>
      <x:c r="H15" s="34"/>
      <x:c r="I15" s="35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56" t="str">
        <x:v>项目</x:v>
      </x:c>
      <x:c r="B17" s="57" t="str">
        <x:v>结论</x:v>
      </x:c>
      <x:c r="C17" s="58"/>
      <x:c r="D17" s="58"/>
      <x:c r="E17" s="58"/>
      <x:c r="F17" s="58"/>
      <x:c r="G17" s="58"/>
      <x:c r="H17" s="58"/>
      <x:c r="I17" s="59"/>
    </x:row>
    <x:row r="18" ht="36" customHeight="1">
      <x:c r="A18" s="60" t="str">
        <x:v>等价性验证</x:v>
      </x:c>
      <x:c r="B18" s="61" t="str">
        <x:v>上述 6 行 MDH 连乘可复现 URDF 从 base_link 到 wrist3_link 的运动学链；±1.5708 rad 按设计意图记为 ±90°。</x:v>
      </x:c>
      <x:c r="C18" s="61"/>
      <x:c r="D18" s="61"/>
      <x:c r="E18" s="61"/>
      <x:c r="F18" s="61"/>
      <x:c r="G18" s="61"/>
      <x:c r="H18" s="61"/>
      <x:c r="I18" s="62"/>
    </x:row>
    <x:row r="19" ht="36" customHeight="1">
      <x:c r="A19" s="60" t="str">
        <x:v>角度零偏</x:v>
      </x:c>
      <x:c r="B19" s="61" t="str">
        <x:v>θᵢ 偏置均为 0°；关节限位不是零位偏置。</x:v>
      </x:c>
      <x:c r="C19" s="61"/>
      <x:c r="D19" s="61"/>
      <x:c r="E19" s="61"/>
      <x:c r="F19" s="61"/>
      <x:c r="G19" s="61"/>
      <x:c r="H19" s="61"/>
      <x:c r="I19" s="62"/>
    </x:row>
    <x:row r="20" ht="36" customHeight="1">
      <x:c r="A20" s="60" t="str">
        <x:v>末端偏移</x:v>
      </x:c>
      <x:c r="B20" s="61" t="str">
        <x:v>URDF 在 j6 / wrist3_link 处结束，未定义 tool0、flange 或其他固定末端关节，因此 d₆=0 mm。</x:v>
      </x:c>
      <x:c r="C20" s="61"/>
      <x:c r="D20" s="61"/>
      <x:c r="E20" s="61"/>
      <x:c r="F20" s="61"/>
      <x:c r="G20" s="61"/>
      <x:c r="H20" s="61"/>
      <x:c r="I20" s="62"/>
    </x:row>
    <x:row r="21" ht="36" customHeight="1">
      <x:c r="A21" s="60" t="str">
        <x:v>相机 / world</x:v>
      </x:c>
      <x:c r="B21" s="61" t="str">
        <x:v>未发现 camera、world 或固定传感器关节；base_link 是模型基座坐标系，详见“URDF明细”。</x:v>
      </x:c>
      <x:c r="C21" s="61"/>
      <x:c r="D21" s="61"/>
      <x:c r="E21" s="61"/>
      <x:c r="F21" s="61"/>
      <x:c r="G21" s="61"/>
      <x:c r="H21" s="61"/>
      <x:c r="I21" s="62"/>
    </x:row>
    <x:row r="22" ht="36" customHeight="1">
      <x:c r="A22" s="63" t="str">
        <x:v>符号说明</x:v>
      </x:c>
      <x:c r="B22" s="64" t="str">
        <x:v>a₂=-520 mm、a₃=-400 mm 保留 URDF 的 -X 方向，未取绝对值。</x:v>
      </x:c>
      <x:c r="C22" s="64"/>
      <x:c r="D22" s="64"/>
      <x:c r="E22" s="64"/>
      <x:c r="F22" s="64"/>
      <x:c r="G22" s="64"/>
      <x:c r="H22" s="64"/>
      <x:c r="I22" s="65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</x:sheetData>
  <x:mergeCells>
    <x:mergeCell ref="B17:I17"/>
    <x:mergeCell ref="B18:I18"/>
    <x:mergeCell ref="B19:I19"/>
    <x:mergeCell ref="B20:I20"/>
    <x:mergeCell ref="B21:I21"/>
    <x:mergeCell ref="B22:I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7" hidden="0" customWidth="1"/>
    <x:col min="2" max="2" width="23" hidden="0" customWidth="1"/>
    <x:col min="3" max="3" width="16" hidden="0" customWidth="1"/>
    <x:col min="4" max="4" width="18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3" hidden="0" customWidth="1"/>
    <x:col min="15" max="15" width="12" hidden="0" customWidth="1"/>
    <x:col min="16" max="16" width="12" hidden="0" customWidth="1"/>
    <x:col min="17" max="17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4" t="str">
        <x:v>URDF 关节、原点与坐标系明细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6" t="str">
        <x:v>源文件单位：平移 m，RPY 与关节限位 rad；角度列由 Excel 公式换算为 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16" t="str">
        <x:v>序号</x:v>
      </x:c>
      <x:c r="B5" s="17" t="str">
        <x:v>关节</x:v>
      </x:c>
      <x:c r="C5" s="17" t="str">
        <x:v>类型</x:v>
      </x:c>
      <x:c r="D5" s="17" t="str">
        <x:v>父 link</x:v>
      </x:c>
      <x:c r="E5" s="17" t="str">
        <x:v>子 link</x:v>
      </x:c>
      <x:c r="F5" s="17" t="str">
        <x:v>x / m</x:v>
      </x:c>
      <x:c r="G5" s="17" t="str">
        <x:v>y / m</x:v>
      </x:c>
      <x:c r="H5" s="17" t="str">
        <x:v>z / m</x:v>
      </x:c>
      <x:c r="I5" s="17" t="str">
        <x:v>roll / rad</x:v>
      </x:c>
      <x:c r="J5" s="17" t="str">
        <x:v>pitch / rad</x:v>
      </x:c>
      <x:c r="K5" s="17" t="str">
        <x:v>yaw / rad</x:v>
      </x:c>
      <x:c r="L5" s="17" t="str">
        <x:v>轴 xyz</x:v>
      </x:c>
      <x:c r="M5" s="17" t="str">
        <x:v>下限 / rad</x:v>
      </x:c>
      <x:c r="N5" s="17" t="str">
        <x:v>上限 / rad</x:v>
      </x:c>
      <x:c r="O5" s="17" t="str">
        <x:v>下限 / °</x:v>
      </x:c>
      <x:c r="P5" s="17" t="str">
        <x:v>上限 / °</x:v>
      </x:c>
      <x:c r="Q5" s="18" t="str">
        <x:v>分类 / 备注</x:v>
      </x:c>
    </x:row>
    <x:row r="6" ht="22" customHeight="1">
      <x:c r="A6" s="22" t="n">
        <x:v>1</x:v>
      </x:c>
      <x:c r="B6" s="22" t="str">
        <x:v>j1</x:v>
      </x:c>
      <x:c r="C6" s="22" t="str">
        <x:v>revolute</x:v>
      </x:c>
      <x:c r="D6" s="25" t="str">
        <x:v>base_link</x:v>
      </x:c>
      <x:c r="E6" s="25" t="str">
        <x:v>shoulder_link</x:v>
      </x:c>
      <x:c r="F6" s="66" t="n">
        <x:v>0</x:v>
      </x:c>
      <x:c r="G6" s="66" t="n">
        <x:v>0</x:v>
      </x:c>
      <x:c r="H6" s="66" t="n">
        <x:v>0</x:v>
      </x:c>
      <x:c r="I6" s="66" t="n">
        <x:v>0</x:v>
      </x:c>
      <x:c r="J6" s="66" t="n">
        <x:v>0</x:v>
      </x:c>
      <x:c r="K6" s="66" t="n">
        <x:v>0</x:v>
      </x:c>
      <x:c r="L6" s="22" t="str">
        <x:v>0 0 1</x:v>
      </x:c>
      <x:c r="M6" s="66" t="n">
        <x:v>-3.0543</x:v>
      </x:c>
      <x:c r="N6" s="66" t="n">
        <x:v>3.0543</x:v>
      </x:c>
      <x:c r="O6" s="69" t="n">
        <x:f>M6*180/PI()</x:f>
        <x:v>-174.99849936680735</x:v>
      </x:c>
      <x:c r="P6" s="69" t="n">
        <x:f>N6*180/PI()</x:f>
        <x:v>174.99849936680735</x:v>
      </x:c>
      <x:c r="Q6" s="25" t="str">
        <x:v>机械臂旋转轴</x:v>
      </x:c>
    </x:row>
    <x:row r="7" ht="22" customHeight="1">
      <x:c r="A7" s="23" t="n">
        <x:v>2</x:v>
      </x:c>
      <x:c r="B7" s="23" t="str">
        <x:v>j2</x:v>
      </x:c>
      <x:c r="C7" s="23" t="str">
        <x:v>revolute</x:v>
      </x:c>
      <x:c r="D7" s="26" t="str">
        <x:v>shoulder_link</x:v>
      </x:c>
      <x:c r="E7" s="26" t="str">
        <x:v>upperarm_link</x:v>
      </x:c>
      <x:c r="F7" s="67" t="n">
        <x:v>0</x:v>
      </x:c>
      <x:c r="G7" s="67" t="n">
        <x:v>0</x:v>
      </x:c>
      <x:c r="H7" s="67" t="n">
        <x:v>0.18</x:v>
      </x:c>
      <x:c r="I7" s="67" t="n">
        <x:v>1.5708</x:v>
      </x:c>
      <x:c r="J7" s="67" t="n">
        <x:v>0</x:v>
      </x:c>
      <x:c r="K7" s="67" t="n">
        <x:v>0</x:v>
      </x:c>
      <x:c r="L7" s="23" t="str">
        <x:v>0 0 1</x:v>
      </x:c>
      <x:c r="M7" s="67" t="n">
        <x:v>-4.6251</x:v>
      </x:c>
      <x:c r="N7" s="67" t="n">
        <x:v>1.4835</x:v>
      </x:c>
      <x:c r="O7" s="70" t="n">
        <x:f>M7*180/PI()</x:f>
        <x:v>-264.998709825957</x:v>
      </x:c>
      <x:c r="P7" s="70" t="n">
        <x:f>N7*180/PI()</x:f>
        <x:v>84.99828890765764</x:v>
      </x:c>
      <x:c r="Q7" s="26" t="str">
        <x:v>机械臂旋转轴</x:v>
      </x:c>
    </x:row>
    <x:row r="8" ht="22" customHeight="1">
      <x:c r="A8" s="23" t="n">
        <x:v>3</x:v>
      </x:c>
      <x:c r="B8" s="23" t="str">
        <x:v>j3</x:v>
      </x:c>
      <x:c r="C8" s="23" t="str">
        <x:v>revolute</x:v>
      </x:c>
      <x:c r="D8" s="26" t="str">
        <x:v>upperarm_link</x:v>
      </x:c>
      <x:c r="E8" s="26" t="str">
        <x:v>forearm_link</x:v>
      </x:c>
      <x:c r="F8" s="67" t="n">
        <x:v>-0.52</x:v>
      </x:c>
      <x:c r="G8" s="67" t="n">
        <x:v>0</x:v>
      </x:c>
      <x:c r="H8" s="67" t="n">
        <x:v>0</x:v>
      </x:c>
      <x:c r="I8" s="67" t="n">
        <x:v>0</x:v>
      </x:c>
      <x:c r="J8" s="67" t="n">
        <x:v>0</x:v>
      </x:c>
      <x:c r="K8" s="67" t="n">
        <x:v>0</x:v>
      </x:c>
      <x:c r="L8" s="23" t="str">
        <x:v>0 0 1</x:v>
      </x:c>
      <x:c r="M8" s="67" t="n">
        <x:v>-2.8274</x:v>
      </x:c>
      <x:c r="N8" s="67" t="n">
        <x:v>2.8274</x:v>
      </x:c>
      <x:c r="O8" s="70" t="n">
        <x:f>M8*180/PI()</x:f>
        <x:v>-161.99808699528896</x:v>
      </x:c>
      <x:c r="P8" s="70" t="n">
        <x:f>N8*180/PI()</x:f>
        <x:v>161.99808699528896</x:v>
      </x:c>
      <x:c r="Q8" s="26" t="str">
        <x:v>机械臂旋转轴</x:v>
      </x:c>
    </x:row>
    <x:row r="9" ht="22" customHeight="1">
      <x:c r="A9" s="23" t="n">
        <x:v>4</x:v>
      </x:c>
      <x:c r="B9" s="23" t="str">
        <x:v>j4</x:v>
      </x:c>
      <x:c r="C9" s="23" t="str">
        <x:v>revolute</x:v>
      </x:c>
      <x:c r="D9" s="26" t="str">
        <x:v>forearm_link</x:v>
      </x:c>
      <x:c r="E9" s="26" t="str">
        <x:v>wrist1_link</x:v>
      </x:c>
      <x:c r="F9" s="67" t="n">
        <x:v>-0.4</x:v>
      </x:c>
      <x:c r="G9" s="67" t="n">
        <x:v>0</x:v>
      </x:c>
      <x:c r="H9" s="67" t="n">
        <x:v>0</x:v>
      </x:c>
      <x:c r="I9" s="67" t="n">
        <x:v>0</x:v>
      </x:c>
      <x:c r="J9" s="67" t="n">
        <x:v>0</x:v>
      </x:c>
      <x:c r="K9" s="67" t="n">
        <x:v>0</x:v>
      </x:c>
      <x:c r="L9" s="23" t="str">
        <x:v>0 0 1</x:v>
      </x:c>
      <x:c r="M9" s="67" t="n">
        <x:v>-4.6251</x:v>
      </x:c>
      <x:c r="N9" s="67" t="n">
        <x:v>1.4835</x:v>
      </x:c>
      <x:c r="O9" s="70" t="n">
        <x:f>M9*180/PI()</x:f>
        <x:v>-264.998709825957</x:v>
      </x:c>
      <x:c r="P9" s="70" t="n">
        <x:f>N9*180/PI()</x:f>
        <x:v>84.99828890765764</x:v>
      </x:c>
      <x:c r="Q9" s="26" t="str">
        <x:v>机械臂旋转轴</x:v>
      </x:c>
    </x:row>
    <x:row r="10" ht="22" customHeight="1">
      <x:c r="A10" s="23" t="n">
        <x:v>5</x:v>
      </x:c>
      <x:c r="B10" s="23" t="str">
        <x:v>j5</x:v>
      </x:c>
      <x:c r="C10" s="23" t="str">
        <x:v>revolute</x:v>
      </x:c>
      <x:c r="D10" s="26" t="str">
        <x:v>wrist1_link</x:v>
      </x:c>
      <x:c r="E10" s="26" t="str">
        <x:v>wrist2_link</x:v>
      </x:c>
      <x:c r="F10" s="67" t="n">
        <x:v>0</x:v>
      </x:c>
      <x:c r="G10" s="67" t="n">
        <x:v>0</x:v>
      </x:c>
      <x:c r="H10" s="67" t="n">
        <x:v>0.159</x:v>
      </x:c>
      <x:c r="I10" s="67" t="n">
        <x:v>1.5708</x:v>
      </x:c>
      <x:c r="J10" s="67" t="n">
        <x:v>0</x:v>
      </x:c>
      <x:c r="K10" s="67" t="n">
        <x:v>0</x:v>
      </x:c>
      <x:c r="L10" s="23" t="str">
        <x:v>0 0 1</x:v>
      </x:c>
      <x:c r="M10" s="67" t="n">
        <x:v>-3.0543</x:v>
      </x:c>
      <x:c r="N10" s="67" t="n">
        <x:v>3.0543</x:v>
      </x:c>
      <x:c r="O10" s="70" t="n">
        <x:f>M10*180/PI()</x:f>
        <x:v>-174.99849936680735</x:v>
      </x:c>
      <x:c r="P10" s="70" t="n">
        <x:f>N10*180/PI()</x:f>
        <x:v>174.99849936680735</x:v>
      </x:c>
      <x:c r="Q10" s="26" t="str">
        <x:v>机械臂旋转轴</x:v>
      </x:c>
    </x:row>
    <x:row r="11" ht="22" customHeight="1">
      <x:c r="A11" s="24" t="n">
        <x:v>6</x:v>
      </x:c>
      <x:c r="B11" s="24" t="str">
        <x:v>j6</x:v>
      </x:c>
      <x:c r="C11" s="24" t="str">
        <x:v>revolute</x:v>
      </x:c>
      <x:c r="D11" s="27" t="str">
        <x:v>wrist2_link</x:v>
      </x:c>
      <x:c r="E11" s="27" t="str">
        <x:v>wrist3_link</x:v>
      </x:c>
      <x:c r="F11" s="68" t="n">
        <x:v>0</x:v>
      </x:c>
      <x:c r="G11" s="68" t="n">
        <x:v>0</x:v>
      </x:c>
      <x:c r="H11" s="68" t="n">
        <x:v>0.114</x:v>
      </x:c>
      <x:c r="I11" s="68" t="n">
        <x:v>-1.5708</x:v>
      </x:c>
      <x:c r="J11" s="68" t="n">
        <x:v>0</x:v>
      </x:c>
      <x:c r="K11" s="68" t="n">
        <x:v>0</x:v>
      </x:c>
      <x:c r="L11" s="24" t="str">
        <x:v>0 0 1</x:v>
      </x:c>
      <x:c r="M11" s="68" t="n">
        <x:v>-3.0543</x:v>
      </x:c>
      <x:c r="N11" s="68" t="n">
        <x:v>3.0543</x:v>
      </x:c>
      <x:c r="O11" s="71" t="n">
        <x:f>M11*180/PI()</x:f>
        <x:v>-174.99849936680735</x:v>
      </x:c>
      <x:c r="P11" s="71" t="n">
        <x:f>N11*180/PI()</x:f>
        <x:v>174.99849936680735</x:v>
      </x:c>
      <x:c r="Q11" s="27" t="str">
        <x:v>机械臂旋转轴；链末端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33" t="str">
        <x:v>非关节坐标系与附加设备检查</x:v>
      </x:c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5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39" t="str">
        <x:v>名称 / 检索项</x:v>
      </x:c>
      <x:c r="B16" s="39" t="str">
        <x:v>类别</x:v>
      </x:c>
      <x:c r="C16" s="39" t="str">
        <x:v>URDF 中显式定义</x:v>
      </x:c>
      <x:c r="D16" s="39" t="str">
        <x:v>关联</x:v>
      </x:c>
      <x:c r="E16" s="39" t="str">
        <x:v>说明</x:v>
      </x:c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</x:row>
    <x:row r="17" ht="34" customHeight="1">
      <x:c r="A17" s="73" t="str">
        <x:v>base_link</x:v>
      </x:c>
      <x:c r="B17" s="73" t="str">
        <x:v>基座坐标系（非关节）</x:v>
      </x:c>
      <x:c r="C17" s="82" t="str">
        <x:v>是</x:v>
      </x:c>
      <x:c r="D17" s="73" t="str">
        <x:v>robot root link</x:v>
      </x:c>
      <x:c r="E17" s="83" t="str">
        <x:v>整条机械臂运动学链的根坐标系</x:v>
      </x:c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</x:row>
    <x:row r="18" ht="34" customHeight="1">
      <x:c r="A18" s="74" t="str">
        <x:v>world</x:v>
      </x:c>
      <x:c r="B18" s="74" t="str">
        <x:v>世界坐标系</x:v>
      </x:c>
      <x:c r="C18" s="80" t="str">
        <x:v>否</x:v>
      </x:c>
      <x:c r="D18" s="74" t="str">
        <x:v>—</x:v>
      </x:c>
      <x:c r="E18" s="61" t="str">
        <x:v>该 URDF 未定义 world link 或 world 固定关节</x:v>
      </x:c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</x:row>
    <x:row r="19" ht="34" customHeight="1">
      <x:c r="A19" s="74" t="str">
        <x:v>camera</x:v>
      </x:c>
      <x:c r="B19" s="74" t="str">
        <x:v>相机 / 视觉坐标系</x:v>
      </x:c>
      <x:c r="C19" s="80" t="str">
        <x:v>否</x:v>
      </x:c>
      <x:c r="D19" s="74" t="str">
        <x:v>—</x:v>
      </x:c>
      <x:c r="E19" s="61" t="str">
        <x:v>未发现名称含 camera 的 link 或 joint</x:v>
      </x:c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</x:row>
    <x:row r="20" ht="34" customHeight="1">
      <x:c r="A20" s="75" t="str">
        <x:v>tool0 / flange</x:v>
      </x:c>
      <x:c r="B20" s="75" t="str">
        <x:v>工具 / 法兰坐标系</x:v>
      </x:c>
      <x:c r="C20" s="81" t="str">
        <x:v>否</x:v>
      </x:c>
      <x:c r="D20" s="75" t="str">
        <x:v>—</x:v>
      </x:c>
      <x:c r="E20" s="64" t="str">
        <x:v>模型在 wrist3_link 结束；如实际法兰有偏移，需要另行补充</x:v>
      </x:c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</x:sheetData>
  <x:mergeCells>
    <x:mergeCell ref="E16:Q16"/>
    <x:mergeCell ref="E17:Q17"/>
    <x:mergeCell ref="E18:Q18"/>
    <x:mergeCell ref="E19:Q19"/>
    <x:mergeCell ref="E20:Q20"/>
  </x:mergeCells>
  <x:pageMargins left="0.7" right="0.7" top="0.75" bottom="0.75" header="0.3" footer="0.3"/>
</x:worksheet>
</file>